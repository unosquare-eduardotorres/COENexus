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osquare-my.sharepoint.com/personal/adam_lynch_unosquare_com/Documents/2025/"/>
    </mc:Choice>
  </mc:AlternateContent>
  <xr:revisionPtr revIDLastSave="152" documentId="13_ncr:1_{A27906D8-6391-46D0-8B1F-7132FFD64A73}" xr6:coauthVersionLast="47" xr6:coauthVersionMax="47" xr10:uidLastSave="{8261423E-043C-F142-B67B-E5A6803F9495}"/>
  <bookViews>
    <workbookView xWindow="-29180" yWindow="500" windowWidth="29040" windowHeight="15840" activeTab="6" xr2:uid="{00000000-000D-0000-FFFF-FFFF00000000}"/>
  </bookViews>
  <sheets>
    <sheet name="sheet1" sheetId="1" r:id="rId1"/>
    <sheet name="04 - April" sheetId="2" r:id="rId2"/>
    <sheet name="05 - May" sheetId="3" r:id="rId3"/>
    <sheet name="06 - June" sheetId="4" r:id="rId4"/>
    <sheet name="07 - July" sheetId="5" r:id="rId5"/>
    <sheet name="08 - Aug" sheetId="6" r:id="rId6"/>
    <sheet name="09 - Sep" sheetId="7" r:id="rId7"/>
  </sheets>
  <definedNames>
    <definedName name="_xlnm._FilterDatabase" localSheetId="0" hidden="1">sheet1!$A$1:$S$320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3" i="7" l="1"/>
  <c r="I63" i="7"/>
  <c r="J65" i="7" s="1"/>
  <c r="J77" i="6"/>
  <c r="I77" i="6"/>
  <c r="J79" i="6" s="1"/>
  <c r="J68" i="5"/>
  <c r="I68" i="5"/>
  <c r="J84" i="4"/>
  <c r="I84" i="4"/>
  <c r="J86" i="4" s="1"/>
  <c r="J47" i="3"/>
  <c r="I47" i="3"/>
  <c r="J49" i="3" s="1"/>
  <c r="J58" i="2"/>
  <c r="I58" i="2"/>
  <c r="J66" i="7" l="1"/>
  <c r="J70" i="5"/>
  <c r="J80" i="6"/>
  <c r="J87" i="4"/>
  <c r="J50" i="3"/>
  <c r="J60" i="2"/>
</calcChain>
</file>

<file path=xl/sharedStrings.xml><?xml version="1.0" encoding="utf-8"?>
<sst xmlns="http://schemas.openxmlformats.org/spreadsheetml/2006/main" count="4216" uniqueCount="519">
  <si>
    <t>Id</t>
  </si>
  <si>
    <t>Account</t>
  </si>
  <si>
    <t>Stakeholder</t>
  </si>
  <si>
    <t>MainSkill</t>
  </si>
  <si>
    <t>Status</t>
  </si>
  <si>
    <t>Countries</t>
  </si>
  <si>
    <t>IsPromotion</t>
  </si>
  <si>
    <t>CSX</t>
  </si>
  <si>
    <t>CountPresented</t>
  </si>
  <si>
    <t>CountApproved</t>
  </si>
  <si>
    <t>CountPlaced</t>
  </si>
  <si>
    <t>Aging</t>
  </si>
  <si>
    <t>Seniorities</t>
  </si>
  <si>
    <t>AvailableRange</t>
  </si>
  <si>
    <t>Created</t>
  </si>
  <si>
    <t>ReadyDate</t>
  </si>
  <si>
    <t>Sourcing</t>
  </si>
  <si>
    <t>IsReplacement</t>
  </si>
  <si>
    <t>Closed</t>
  </si>
  <si>
    <t>Axos Bank, Inc</t>
  </si>
  <si>
    <t>Lavanya Kalva</t>
  </si>
  <si>
    <t>C#</t>
  </si>
  <si>
    <t>Closed Won</t>
  </si>
  <si>
    <t>Argentina, Bolivia, Colombia, Mexico, Paraguay</t>
  </si>
  <si>
    <t>No</t>
  </si>
  <si>
    <t>Joel Barrett</t>
  </si>
  <si>
    <t>Lead</t>
  </si>
  <si>
    <t>$42.00 - 42.00</t>
  </si>
  <si>
    <t>Combined</t>
  </si>
  <si>
    <t>Customers Bank</t>
  </si>
  <si>
    <t>Joe Ratzloff</t>
  </si>
  <si>
    <t>QA</t>
  </si>
  <si>
    <t>Michael Eric Lisse</t>
  </si>
  <si>
    <t>$60.00 - 60.00</t>
  </si>
  <si>
    <t>Internal</t>
  </si>
  <si>
    <t>SDET</t>
  </si>
  <si>
    <t>Senior</t>
  </si>
  <si>
    <t>$54.00 - 60.00</t>
  </si>
  <si>
    <t>Intermediate</t>
  </si>
  <si>
    <t>$48.00 - 53.00</t>
  </si>
  <si>
    <t>$30.00 - 38.00</t>
  </si>
  <si>
    <t>Internal, Combined</t>
  </si>
  <si>
    <t>Fujitsu General America Inc</t>
  </si>
  <si>
    <t>Steve Iribarne</t>
  </si>
  <si>
    <t>Argentina, Bolivia, Colombia, Mexico</t>
  </si>
  <si>
    <t>Luke Richardson</t>
  </si>
  <si>
    <t>$40.00 - 44.00</t>
  </si>
  <si>
    <t>Yes</t>
  </si>
  <si>
    <t>Yana  Gifford</t>
  </si>
  <si>
    <t>Scrum Master</t>
  </si>
  <si>
    <t>Bolivia</t>
  </si>
  <si>
    <t>$38.00 - 38.00</t>
  </si>
  <si>
    <t>Sapio Sciences</t>
  </si>
  <si>
    <t>Luke Davies-Cooke</t>
  </si>
  <si>
    <t>Design Generalist</t>
  </si>
  <si>
    <t>Adam Lynch</t>
  </si>
  <si>
    <t>$0.00 - 0.00</t>
  </si>
  <si>
    <t>Green Dot Corp</t>
  </si>
  <si>
    <t>Kim Riley</t>
  </si>
  <si>
    <t>Joel Barrett, Michael Eric Lisse</t>
  </si>
  <si>
    <t>Intermediate, Senior</t>
  </si>
  <si>
    <t>Closed Lost - Competitor</t>
  </si>
  <si>
    <t>$45.00 - 59.00</t>
  </si>
  <si>
    <t>McGraw Hill</t>
  </si>
  <si>
    <t>Kristina Armendaris</t>
  </si>
  <si>
    <t>Project Manager</t>
  </si>
  <si>
    <t>Helder Elohim Acebo Chavira</t>
  </si>
  <si>
    <t>$48.00 - 52.00</t>
  </si>
  <si>
    <t>Church of the Highlands</t>
  </si>
  <si>
    <t>AJ Chiepalich</t>
  </si>
  <si>
    <t>Mexico</t>
  </si>
  <si>
    <t>DJ Taylor</t>
  </si>
  <si>
    <t>$0.00 - 70.00</t>
  </si>
  <si>
    <t>Danny Nadalalicea</t>
  </si>
  <si>
    <t>Java</t>
  </si>
  <si>
    <t>$36.00 - 36.00</t>
  </si>
  <si>
    <t>Harvard Business School</t>
  </si>
  <si>
    <t>Kavitha Ratnam</t>
  </si>
  <si>
    <t>Lead, Senior</t>
  </si>
  <si>
    <t>$66.00 - 74.00</t>
  </si>
  <si>
    <t>Flatiron Health</t>
  </si>
  <si>
    <t>Robert Doherty</t>
  </si>
  <si>
    <t>Machine Learning</t>
  </si>
  <si>
    <t>$60.00 - 70.00</t>
  </si>
  <si>
    <t>Brice Bentler</t>
  </si>
  <si>
    <t>PHP</t>
  </si>
  <si>
    <t>$50.00 - 55.00</t>
  </si>
  <si>
    <t>Athena Health</t>
  </si>
  <si>
    <t>Jo Worthington</t>
  </si>
  <si>
    <t>React</t>
  </si>
  <si>
    <t>Heather Presley</t>
  </si>
  <si>
    <t>$65.00 - 73.00</t>
  </si>
  <si>
    <t>Atmosera</t>
  </si>
  <si>
    <t>Pete Hernandez</t>
  </si>
  <si>
    <t>Security Analyst</t>
  </si>
  <si>
    <t>Jake Rainey, Luis Guillermo Ibanez Zarate</t>
  </si>
  <si>
    <t>Fujitsu Intelligence Technology</t>
  </si>
  <si>
    <t>Nicholas  Lee</t>
  </si>
  <si>
    <t>AI</t>
  </si>
  <si>
    <t>Giancarlo Di Vece, Luke Richardson</t>
  </si>
  <si>
    <t>Lead, Principal, Senior</t>
  </si>
  <si>
    <t>$65.00 - 85.00</t>
  </si>
  <si>
    <t>Sean Xiao</t>
  </si>
  <si>
    <t>$63.00 - 76.00</t>
  </si>
  <si>
    <t>CheckedUp</t>
  </si>
  <si>
    <t>Jason Dennie</t>
  </si>
  <si>
    <t>Product Development</t>
  </si>
  <si>
    <t>United States of America</t>
  </si>
  <si>
    <t>Principal</t>
  </si>
  <si>
    <t>$180.00 - 180.00</t>
  </si>
  <si>
    <t>R Squared</t>
  </si>
  <si>
    <t>Javascript</t>
  </si>
  <si>
    <t>Colin McMaster</t>
  </si>
  <si>
    <t>Aacini Servai</t>
  </si>
  <si>
    <t>Data Governance Analyst</t>
  </si>
  <si>
    <t>$37.00 - 37.00</t>
  </si>
  <si>
    <t>Trust and Will</t>
  </si>
  <si>
    <t>Michael Jones</t>
  </si>
  <si>
    <t>Node.js</t>
  </si>
  <si>
    <t>$60.00 - 69.00</t>
  </si>
  <si>
    <t>Argentina, Bolivia, Colombia, Mexico, United States of America</t>
  </si>
  <si>
    <t>$50.00 - 75.00</t>
  </si>
  <si>
    <t>Andy  Foglia</t>
  </si>
  <si>
    <t>Angular 2+</t>
  </si>
  <si>
    <t>$50.00 - 52.00</t>
  </si>
  <si>
    <t>Amri Abuseman</t>
  </si>
  <si>
    <t>Site Reliability Engineer</t>
  </si>
  <si>
    <t>$45.00 - 85.00</t>
  </si>
  <si>
    <t>Mark Benda</t>
  </si>
  <si>
    <t>$50.00 - 85.00</t>
  </si>
  <si>
    <t>Dover</t>
  </si>
  <si>
    <t>Prasanna Raya</t>
  </si>
  <si>
    <t>Jonathan White</t>
  </si>
  <si>
    <t>$40.00 - 40.00</t>
  </si>
  <si>
    <t>External</t>
  </si>
  <si>
    <t>BPUS DG Development LLC</t>
  </si>
  <si>
    <t>Jeffrey Gordon</t>
  </si>
  <si>
    <t>Business Analyst</t>
  </si>
  <si>
    <t>$45.00 - 50.00</t>
  </si>
  <si>
    <t>Stitch Fix</t>
  </si>
  <si>
    <t>Christen Rittiger</t>
  </si>
  <si>
    <t>Ruby</t>
  </si>
  <si>
    <t>Adam Lynch, Jake Rainey</t>
  </si>
  <si>
    <t>$61.00 - 87.00</t>
  </si>
  <si>
    <t>Dipen Shah</t>
  </si>
  <si>
    <t>Data Engineer</t>
  </si>
  <si>
    <t>$65.00 - 135.00</t>
  </si>
  <si>
    <t>$65.00 - 120.00</t>
  </si>
  <si>
    <t>Frank Waters</t>
  </si>
  <si>
    <t>Megan Hildner</t>
  </si>
  <si>
    <t>$70.00 - 90.00</t>
  </si>
  <si>
    <t>Harvard Business School Publishing</t>
  </si>
  <si>
    <t>Ronnie  Maffa</t>
  </si>
  <si>
    <t>North Coast Medical Supply - ADS</t>
  </si>
  <si>
    <t>Ramana Kesharaju</t>
  </si>
  <si>
    <t>Marco Zamora</t>
  </si>
  <si>
    <t>$55.00 - 66.00</t>
  </si>
  <si>
    <t>Mallikarjun Peddagolla Srishaila</t>
  </si>
  <si>
    <t>$0.00 - 66.00</t>
  </si>
  <si>
    <t>Amit Advani</t>
  </si>
  <si>
    <t>Salesforce Developer</t>
  </si>
  <si>
    <t>Closed Lost - Canceled</t>
  </si>
  <si>
    <t>Lead, Principal</t>
  </si>
  <si>
    <t>$68.00 - 78.00</t>
  </si>
  <si>
    <t>Anil Bingumalla</t>
  </si>
  <si>
    <t>Outsystems</t>
  </si>
  <si>
    <t>Kirk Gray</t>
  </si>
  <si>
    <t>Document Crunch</t>
  </si>
  <si>
    <t>Trent Miskelly</t>
  </si>
  <si>
    <t>$55.00 - 65.00</t>
  </si>
  <si>
    <t>Ryan Brennan</t>
  </si>
  <si>
    <t>Closed Lost - Internal by CSU</t>
  </si>
  <si>
    <t>$50.00 - 90.00</t>
  </si>
  <si>
    <t>Sam McFarland</t>
  </si>
  <si>
    <t>$60.00 - 76.00</t>
  </si>
  <si>
    <t>Accio3D</t>
  </si>
  <si>
    <t>Kris Hauhe</t>
  </si>
  <si>
    <t>Canada</t>
  </si>
  <si>
    <t>Kris Hauhe, Luke Richardson</t>
  </si>
  <si>
    <t>$0.00 - 180.00</t>
  </si>
  <si>
    <t>Design Research/UX</t>
  </si>
  <si>
    <t>$0.00 - 250.00</t>
  </si>
  <si>
    <t>Design UX/UI</t>
  </si>
  <si>
    <t>Product Manager</t>
  </si>
  <si>
    <t>Next.js</t>
  </si>
  <si>
    <t>$0.00 - 165.00</t>
  </si>
  <si>
    <t>David Coleman</t>
  </si>
  <si>
    <t>$39.00 - 65.00</t>
  </si>
  <si>
    <t>BuildWitt</t>
  </si>
  <si>
    <t>Dane Thomas</t>
  </si>
  <si>
    <t>Luis Guillermo Ibanez Zarate</t>
  </si>
  <si>
    <t>Shopsense</t>
  </si>
  <si>
    <t>Tabrez Mohammed</t>
  </si>
  <si>
    <t>$56.00 - 69.00</t>
  </si>
  <si>
    <t>$160.00 - 160.00</t>
  </si>
  <si>
    <t>Rodrigo  baca</t>
  </si>
  <si>
    <t>Win-Factor</t>
  </si>
  <si>
    <t>Jeff Eubanks</t>
  </si>
  <si>
    <t>VB.NET</t>
  </si>
  <si>
    <t>Joel Barrett, Pablo Felix</t>
  </si>
  <si>
    <t>$0.00 - 46.00</t>
  </si>
  <si>
    <t>Jay Legaspi</t>
  </si>
  <si>
    <t>Kush Patel</t>
  </si>
  <si>
    <t>$70.00 - 70.00</t>
  </si>
  <si>
    <t>Beth Schmitt</t>
  </si>
  <si>
    <t>Python</t>
  </si>
  <si>
    <t>$49.00 - 50.00</t>
  </si>
  <si>
    <t>$0.00 - 40.00</t>
  </si>
  <si>
    <t>CD Baby</t>
  </si>
  <si>
    <t>Chris Poe</t>
  </si>
  <si>
    <t>BI</t>
  </si>
  <si>
    <t>Allen Eskridge, Helder Elohim Acebo Chavira</t>
  </si>
  <si>
    <t>$45.00 - 80.00</t>
  </si>
  <si>
    <t>Doug Fuerst</t>
  </si>
  <si>
    <t>Nalalagappan Solayappan</t>
  </si>
  <si>
    <t>Junior</t>
  </si>
  <si>
    <t>$24.00 - 24.00</t>
  </si>
  <si>
    <t>Closed Lost - Client Filled Internally</t>
  </si>
  <si>
    <t>Vineeta  Mishra</t>
  </si>
  <si>
    <t>Xamarin</t>
  </si>
  <si>
    <t>$32.00 - 32.00</t>
  </si>
  <si>
    <t>Shruti Patel</t>
  </si>
  <si>
    <t>$50.00 - 58.00</t>
  </si>
  <si>
    <t>You Version</t>
  </si>
  <si>
    <t>Joel Bell</t>
  </si>
  <si>
    <t>Zelis Healthcare</t>
  </si>
  <si>
    <t>Madhav Abhyankar</t>
  </si>
  <si>
    <t>Enformion</t>
  </si>
  <si>
    <t>Mike Bailey</t>
  </si>
  <si>
    <t>Bolivia, Colombia, Mexico</t>
  </si>
  <si>
    <t>Jake Rainey</t>
  </si>
  <si>
    <t>$26.00 - 30.00</t>
  </si>
  <si>
    <t>Johnstone Supply</t>
  </si>
  <si>
    <t>Derek Harber</t>
  </si>
  <si>
    <t>SQL</t>
  </si>
  <si>
    <t>Prakash Jethwani</t>
  </si>
  <si>
    <t>Sophia Allen</t>
  </si>
  <si>
    <t>$45.00 - 55.00</t>
  </si>
  <si>
    <t>United Kingdom</t>
  </si>
  <si>
    <t>$60.00 - 80.00</t>
  </si>
  <si>
    <t>Weedmaps</t>
  </si>
  <si>
    <t>Matthew Trigg</t>
  </si>
  <si>
    <t>Doguhan Aydeniz</t>
  </si>
  <si>
    <t>Go</t>
  </si>
  <si>
    <t>$0.00 - 55.00</t>
  </si>
  <si>
    <t>Provizual LLC</t>
  </si>
  <si>
    <t>Hunt Burdick</t>
  </si>
  <si>
    <t>Lead Dog LLC</t>
  </si>
  <si>
    <t>Andrew English</t>
  </si>
  <si>
    <t>$55.00 - 70.00</t>
  </si>
  <si>
    <t>Caison AI</t>
  </si>
  <si>
    <t>Charles Selvaraj</t>
  </si>
  <si>
    <t>$0.00 - 50.00</t>
  </si>
  <si>
    <t>Caring</t>
  </si>
  <si>
    <t>JR Hughson</t>
  </si>
  <si>
    <t>$0.00 - 60.00</t>
  </si>
  <si>
    <t>Bigtime Software</t>
  </si>
  <si>
    <t>Peter Nero</t>
  </si>
  <si>
    <t>NewRez</t>
  </si>
  <si>
    <t>Matt Alexander</t>
  </si>
  <si>
    <t>NOC</t>
  </si>
  <si>
    <t>Foundation Medicine, Inc.</t>
  </si>
  <si>
    <t>Julie Rice</t>
  </si>
  <si>
    <t>$59.00 - 59.00</t>
  </si>
  <si>
    <t>Columbia Sportswear Company</t>
  </si>
  <si>
    <t>Sandra Fernandes</t>
  </si>
  <si>
    <t>$40.00 - 45.00</t>
  </si>
  <si>
    <t>Bill Rawlinson</t>
  </si>
  <si>
    <t>$60.00 - 75.00</t>
  </si>
  <si>
    <t>Reshmi Boothalingom</t>
  </si>
  <si>
    <t>$34.00 - 34.00</t>
  </si>
  <si>
    <t>Solid Lives</t>
  </si>
  <si>
    <t>Eryne Nevarez</t>
  </si>
  <si>
    <t>Allen Eskridge</t>
  </si>
  <si>
    <t>$125.00 - 125.00</t>
  </si>
  <si>
    <t>Nicole Bolliger</t>
  </si>
  <si>
    <t>DevOps</t>
  </si>
  <si>
    <t>$71.00 - 85.00</t>
  </si>
  <si>
    <t>Sonali Zaveri</t>
  </si>
  <si>
    <t>$40.00 - 70.00</t>
  </si>
  <si>
    <t>Argentina, Bolivia, Colombia, Mexico, Panama</t>
  </si>
  <si>
    <t>$64.00 - 75.00</t>
  </si>
  <si>
    <t>Matt McGuire</t>
  </si>
  <si>
    <t>$75.00 - 75.00</t>
  </si>
  <si>
    <t>$80.00 - 80.00</t>
  </si>
  <si>
    <t>$65.00 - 65.00</t>
  </si>
  <si>
    <t>Bridget Rose</t>
  </si>
  <si>
    <t>$50.00 - 80.00</t>
  </si>
  <si>
    <t>$50.00 - 70.00</t>
  </si>
  <si>
    <t>Lalitha  Nagaraja</t>
  </si>
  <si>
    <t>Irina Easterling</t>
  </si>
  <si>
    <t>$22.00 - 22.00</t>
  </si>
  <si>
    <t>$51.00 - 63.00</t>
  </si>
  <si>
    <t>Marco Ciriaco</t>
  </si>
  <si>
    <t>$18.50 - 18.50</t>
  </si>
  <si>
    <t>Global Endowment Management (GEM)</t>
  </si>
  <si>
    <t>$250.00 - 250.00</t>
  </si>
  <si>
    <t>$150.00 - 150.00</t>
  </si>
  <si>
    <t>LifeLoop</t>
  </si>
  <si>
    <t>Joey Gray</t>
  </si>
  <si>
    <t>Colombia</t>
  </si>
  <si>
    <t>Aida Geanelly Gonzalez Rubio</t>
  </si>
  <si>
    <t>$35.00 - 53.00</t>
  </si>
  <si>
    <t>Sarah Griffis</t>
  </si>
  <si>
    <t>Data Scientist</t>
  </si>
  <si>
    <t>$116.00 - 116.00</t>
  </si>
  <si>
    <t>$67.00 - 67.00</t>
  </si>
  <si>
    <t>Tyler Engel</t>
  </si>
  <si>
    <t>$41.00 - 75.00</t>
  </si>
  <si>
    <t>Consolidated Analytics, Inc.</t>
  </si>
  <si>
    <t>Jade Davila</t>
  </si>
  <si>
    <t>Damon Brown</t>
  </si>
  <si>
    <t>$0.00 - 55.29</t>
  </si>
  <si>
    <t>Canada, United States of America</t>
  </si>
  <si>
    <t>$0.00 - 90.00</t>
  </si>
  <si>
    <t>Pete Kowalski</t>
  </si>
  <si>
    <t>The Evans Group</t>
  </si>
  <si>
    <t>Wade Lynton</t>
  </si>
  <si>
    <t>$165.00 - 165.00</t>
  </si>
  <si>
    <t>Raghu Valipireddy</t>
  </si>
  <si>
    <t>$0.00 - 45.00</t>
  </si>
  <si>
    <t>Argentina, Bolivia, Colombia, Mexico, Paraguay, United Kingdom</t>
  </si>
  <si>
    <t>$100.00 - 100.00</t>
  </si>
  <si>
    <t>Meedan Inc</t>
  </si>
  <si>
    <t>Caio Almedia</t>
  </si>
  <si>
    <t>$55.00 - 88.00</t>
  </si>
  <si>
    <t>Prometheus Group</t>
  </si>
  <si>
    <t>John Traywick</t>
  </si>
  <si>
    <t>Danielle Rich</t>
  </si>
  <si>
    <t>$0.00 - 80.00</t>
  </si>
  <si>
    <t>Deepti Premraj</t>
  </si>
  <si>
    <t>Jon Montgomery</t>
  </si>
  <si>
    <t>$48.00 - 55.00</t>
  </si>
  <si>
    <t>Danielle  Rich</t>
  </si>
  <si>
    <t>Trans Union LLC</t>
  </si>
  <si>
    <t>Dan Stone</t>
  </si>
  <si>
    <t>$50.00 - 60.00</t>
  </si>
  <si>
    <t>Venkanna  Eeramalla</t>
  </si>
  <si>
    <t>Blue Owl</t>
  </si>
  <si>
    <t>Dragan Masnikosa</t>
  </si>
  <si>
    <t>$85.00 - 85.00</t>
  </si>
  <si>
    <t>CareXM</t>
  </si>
  <si>
    <t>Chris Stokes</t>
  </si>
  <si>
    <t>Sysadmin</t>
  </si>
  <si>
    <t>Noah Zamansky</t>
  </si>
  <si>
    <t>Argentina, Bolivia, Colombia, Mexico, Paraguay, United States of America</t>
  </si>
  <si>
    <t>$85.00 - 150.00</t>
  </si>
  <si>
    <t>Avisi</t>
  </si>
  <si>
    <t>Seth Harrington</t>
  </si>
  <si>
    <t>Bolivia, Colombia, Mexico, Paraguay</t>
  </si>
  <si>
    <t>Adam Lynch, Heather Presley</t>
  </si>
  <si>
    <t>Intermediate, Junior</t>
  </si>
  <si>
    <t>$0.00 - 59.00</t>
  </si>
  <si>
    <t>Michael Newman</t>
  </si>
  <si>
    <t>$52.00 - 66.00</t>
  </si>
  <si>
    <t>Sphere</t>
  </si>
  <si>
    <t>Brent VanLoo</t>
  </si>
  <si>
    <t>$0.00 - 35.00</t>
  </si>
  <si>
    <t>$0.00 - 75.00</t>
  </si>
  <si>
    <t>Jesus Valle</t>
  </si>
  <si>
    <t>Joonbi</t>
  </si>
  <si>
    <t>Jane Hein</t>
  </si>
  <si>
    <t>Wordpress</t>
  </si>
  <si>
    <t>$45.00 - 70.00</t>
  </si>
  <si>
    <t>Deron Young</t>
  </si>
  <si>
    <t>Benjamin Lugavere</t>
  </si>
  <si>
    <t>Maria Herrera</t>
  </si>
  <si>
    <t>Manikandan Nair</t>
  </si>
  <si>
    <t>MAUI</t>
  </si>
  <si>
    <t>$43.00 - 43.00</t>
  </si>
  <si>
    <t>$0.00 - 36.00</t>
  </si>
  <si>
    <t>Onkar Pujari</t>
  </si>
  <si>
    <t>Zachary Khan</t>
  </si>
  <si>
    <t>$35.00 - 60.00</t>
  </si>
  <si>
    <t>Dragonfly Insurance</t>
  </si>
  <si>
    <t>Chris Yang</t>
  </si>
  <si>
    <t>Sheeraz Fazal</t>
  </si>
  <si>
    <t>Zachary Atwell</t>
  </si>
  <si>
    <t>Coveo</t>
  </si>
  <si>
    <t>DataDirect Networks, Inc</t>
  </si>
  <si>
    <t>Sean Hartig</t>
  </si>
  <si>
    <t>Network</t>
  </si>
  <si>
    <t>$25.00 - 30.00</t>
  </si>
  <si>
    <t>Network Architect</t>
  </si>
  <si>
    <t>$30.00 - 45.00</t>
  </si>
  <si>
    <t>Perchwell</t>
  </si>
  <si>
    <t>Christopher Sun</t>
  </si>
  <si>
    <t>$0.00 - 68.00</t>
  </si>
  <si>
    <t>Eric Melkonian</t>
  </si>
  <si>
    <t>$40.00 - 55.00</t>
  </si>
  <si>
    <t>Tech Support</t>
  </si>
  <si>
    <t>$25.00 - 50.00</t>
  </si>
  <si>
    <t>Cody  Sanders</t>
  </si>
  <si>
    <t>$50.00 - 50.00</t>
  </si>
  <si>
    <t>$56.00 - 100.00</t>
  </si>
  <si>
    <t>Stefano McGhee</t>
  </si>
  <si>
    <t>Ireland</t>
  </si>
  <si>
    <t>$80.00 - 100.00</t>
  </si>
  <si>
    <t>Jerry Dirmann</t>
  </si>
  <si>
    <t>Android</t>
  </si>
  <si>
    <t>$74.00 - 74.00</t>
  </si>
  <si>
    <t>$44.00 - 44.00</t>
  </si>
  <si>
    <t>Vue.js</t>
  </si>
  <si>
    <t>Swathi Vegesna</t>
  </si>
  <si>
    <t>$44.00 - 46.00</t>
  </si>
  <si>
    <t>Choice Books</t>
  </si>
  <si>
    <t>Joe Bacher</t>
  </si>
  <si>
    <t>Andrew Bertrand</t>
  </si>
  <si>
    <t>LegitScript</t>
  </si>
  <si>
    <t>Ryan Van Dusen</t>
  </si>
  <si>
    <t>Intermediate, Lead, Senior</t>
  </si>
  <si>
    <t>$40.00 - 50.00</t>
  </si>
  <si>
    <t>$90.00 - 90.00</t>
  </si>
  <si>
    <t>Harish Balabhadrapathruni</t>
  </si>
  <si>
    <t>$0.00 - 33.00</t>
  </si>
  <si>
    <t>Andrew McGary</t>
  </si>
  <si>
    <t>Not Specified</t>
  </si>
  <si>
    <t>Robert Harmon</t>
  </si>
  <si>
    <t>Bolivia, Colombia, Mexico, Paraguay, United Kingdom</t>
  </si>
  <si>
    <t>$65.00 - 95.00</t>
  </si>
  <si>
    <t>Anusha  Dharmalingam</t>
  </si>
  <si>
    <t>$53.00 - 55.00</t>
  </si>
  <si>
    <t>HemaSource</t>
  </si>
  <si>
    <t>Joe Avery</t>
  </si>
  <si>
    <t>$75.00 - 90.00</t>
  </si>
  <si>
    <t>Jason Stitt</t>
  </si>
  <si>
    <t>Tristin McCarty</t>
  </si>
  <si>
    <t>IT Engineer</t>
  </si>
  <si>
    <t>$26.00 - 26.00</t>
  </si>
  <si>
    <t>$0.00 - 26.00</t>
  </si>
  <si>
    <t>Guillermo Esteves</t>
  </si>
  <si>
    <t>$53.00 - 76.00</t>
  </si>
  <si>
    <t>Allen  Eskridge</t>
  </si>
  <si>
    <t>$178.00 - 180.00</t>
  </si>
  <si>
    <t>$66.00 - 66.00</t>
  </si>
  <si>
    <t>Mytility</t>
  </si>
  <si>
    <t>Marianne Faro</t>
  </si>
  <si>
    <t>$50.00 - 65.00</t>
  </si>
  <si>
    <t>Allied Benefit Systems</t>
  </si>
  <si>
    <t>Phill  Vuollet</t>
  </si>
  <si>
    <t>$55.00 - 75.00</t>
  </si>
  <si>
    <t>G Treasury</t>
  </si>
  <si>
    <t>Tariq Ahmed</t>
  </si>
  <si>
    <t>Joel Barrett, Michael Eric Lisse, Pablo Felix</t>
  </si>
  <si>
    <t>Talkoot</t>
  </si>
  <si>
    <t>Jason Buffington</t>
  </si>
  <si>
    <t>Efrain Rivas Payome</t>
  </si>
  <si>
    <t>ID Experts</t>
  </si>
  <si>
    <t>Chris Semke</t>
  </si>
  <si>
    <t>NonStop Wellness</t>
  </si>
  <si>
    <t>Darrell Young</t>
  </si>
  <si>
    <t>Giancarlo Di Vece</t>
  </si>
  <si>
    <t>$0.00 - 46.30</t>
  </si>
  <si>
    <t>Doug Jones</t>
  </si>
  <si>
    <t>$47.00 - 47.00</t>
  </si>
  <si>
    <t>Daniel Leich</t>
  </si>
  <si>
    <t>$58.00 - 63.00</t>
  </si>
  <si>
    <t>$45.00 - 48.00</t>
  </si>
  <si>
    <t>Connor Ryan</t>
  </si>
  <si>
    <t>Bolivia, Paraguay</t>
  </si>
  <si>
    <t>$30.00 - 40.00</t>
  </si>
  <si>
    <t>$73.50 - 73.50</t>
  </si>
  <si>
    <t>Efrain Rivas</t>
  </si>
  <si>
    <t>Intermediate, Not Specified</t>
  </si>
  <si>
    <t>$0.00 - 32.00</t>
  </si>
  <si>
    <t>Gabriel Saldana</t>
  </si>
  <si>
    <t>$35.00 - 40.00</t>
  </si>
  <si>
    <t>iOS</t>
  </si>
  <si>
    <t>$170.00 - 170.00</t>
  </si>
  <si>
    <t>$0.00 - 47.00</t>
  </si>
  <si>
    <t>Life Church</t>
  </si>
  <si>
    <t>Brenton Neal</t>
  </si>
  <si>
    <t>$0.00 - 54.00</t>
  </si>
  <si>
    <t>$54.00 - 54.00</t>
  </si>
  <si>
    <t>Parth Kulkarni</t>
  </si>
  <si>
    <t>Nader Scherzay</t>
  </si>
  <si>
    <t>Kelly Jones</t>
  </si>
  <si>
    <t>$0.00 - 82.00</t>
  </si>
  <si>
    <t>Jorge Zelaya</t>
  </si>
  <si>
    <t>NCQA</t>
  </si>
  <si>
    <t>Anupama Kytham</t>
  </si>
  <si>
    <t>$53.00 - 75.00</t>
  </si>
  <si>
    <t>Trainee</t>
  </si>
  <si>
    <t>$45.00 - 52.00</t>
  </si>
  <si>
    <t>Flutter</t>
  </si>
  <si>
    <t>$180.00 - 250.00</t>
  </si>
  <si>
    <t>Kaitlyn Wightman</t>
  </si>
  <si>
    <t>$88.00 - 100.00</t>
  </si>
  <si>
    <t>$76.00 - 87.00</t>
  </si>
  <si>
    <t>Harvard University Information Technology</t>
  </si>
  <si>
    <t>Sapna Mysore</t>
  </si>
  <si>
    <t>Argentina, Bolivia, Colombia, Mexico, United Kingdom</t>
  </si>
  <si>
    <t>Glenn Fishback</t>
  </si>
  <si>
    <t>$0.00 - 150.00</t>
  </si>
  <si>
    <t>Mario Carbajal</t>
  </si>
  <si>
    <t>Kevin Newman</t>
  </si>
  <si>
    <t>$90.00 - 100.00</t>
  </si>
  <si>
    <t>Brian Szuksta</t>
  </si>
  <si>
    <t>Tony Wang</t>
  </si>
  <si>
    <t>$74.00 - 86.00</t>
  </si>
  <si>
    <t>$54.00 - 66.00</t>
  </si>
  <si>
    <t>Richard Awdeh</t>
  </si>
  <si>
    <t>$38.00 - 39.00</t>
  </si>
  <si>
    <t>Andrew  Bertrand</t>
  </si>
  <si>
    <t>$1.00 - 1.00</t>
  </si>
  <si>
    <t>David Ramshaw</t>
  </si>
  <si>
    <t>Mike Harper</t>
  </si>
  <si>
    <t>$0.00 - 49.61</t>
  </si>
  <si>
    <t>$0.00 - 52.00</t>
  </si>
  <si>
    <t>Lee Pulatie</t>
  </si>
  <si>
    <t>$60.00 - 100.00</t>
  </si>
  <si>
    <t>Zach  Brown</t>
  </si>
  <si>
    <t>Peggy Graverson</t>
  </si>
  <si>
    <t>$0.00 - 30.00</t>
  </si>
  <si>
    <t>$112.33 - 112.33</t>
  </si>
  <si>
    <t>month</t>
  </si>
  <si>
    <t>qtd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</si>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</sst>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opLeftCell="G1" zoomScale="80" zoomScaleNormal="80" workbookViewId="0">
      <pane ySplit="1" topLeftCell="A343" activePane="bottomLeft" state="frozen"/>
      <selection pane="bottomLeft" activeCell="A321" sqref="A321:S380"/>
    </sheetView>
  </sheetViews>
  <sheetFormatPr baseColWidth="10" defaultRowHeight="15" x14ac:dyDescent="0.2"/>
  <cols>
    <col min="1" max="1" width="7.33203125" style="3" bestFit="1" customWidth="1"/>
    <col min="2" max="2" width="39.5" style="3" bestFit="1" customWidth="1"/>
    <col min="3" max="3" width="29.5" style="3" bestFit="1" customWidth="1"/>
    <col min="4" max="4" width="23.33203125" style="3" bestFit="1" customWidth="1"/>
    <col min="5" max="5" width="32.83203125" style="3" bestFit="1" customWidth="1"/>
    <col min="6" max="6" width="66.83203125" style="3" bestFit="1" customWidth="1"/>
    <col min="7" max="7" width="16.5" style="3" bestFit="1" customWidth="1"/>
    <col min="8" max="8" width="40.83203125" style="3" bestFit="1" customWidth="1"/>
    <col min="9" max="9" width="20" style="3" bestFit="1" customWidth="1"/>
    <col min="10" max="10" width="19.5" style="3" bestFit="1" customWidth="1"/>
    <col min="11" max="11" width="16.6640625" style="3" bestFit="1" customWidth="1"/>
    <col min="12" max="12" width="10.5" style="3" bestFit="1" customWidth="1"/>
    <col min="13" max="13" width="26" style="3" bestFit="1" customWidth="1"/>
    <col min="14" max="14" width="19.33203125" style="3" bestFit="1" customWidth="1"/>
    <col min="15" max="15" width="12.5" style="3" bestFit="1" customWidth="1"/>
    <col min="16" max="16" width="15.1640625" style="3" bestFit="1" customWidth="1"/>
    <col min="17" max="17" width="18.33203125" style="3" bestFit="1" customWidth="1"/>
    <col min="18" max="18" width="18.6640625" style="3" bestFit="1" customWidth="1"/>
    <col min="19" max="19" width="11.5" style="3" bestFit="1" customWidth="1"/>
  </cols>
  <sheetData>
    <row r="1" spans="1:19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</sheetData>
  <autoFilter ref="A1:S380" xr:uid="{00000000-0001-0000-0000-000000000000}">
    <sortState xmlns:xlrd2="http://schemas.microsoft.com/office/spreadsheetml/2017/richdata2" ref="A2:S380">
      <sortCondition ref="O1:O38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55C70-82AA-9A49-9330-24C94288A3BB}">
  <dimension ref="A1:S60"/>
  <sheetViews>
    <sheetView topLeftCell="A29" workbookViewId="0">
      <selection activeCell="I63" sqref="I63"/>
    </sheetView>
  </sheetViews>
  <sheetFormatPr baseColWidth="10" defaultRowHeight="15" x14ac:dyDescent="0.2"/>
  <sheetData>
    <row r="1" spans="1:1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s="3">
        <v>7335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>
        <v>1</v>
      </c>
      <c r="J2" s="3">
        <v>1</v>
      </c>
      <c r="K2" s="3">
        <v>1</v>
      </c>
      <c r="L2" s="3">
        <v>1</v>
      </c>
      <c r="M2" s="3" t="s">
        <v>26</v>
      </c>
      <c r="N2" s="3" t="s">
        <v>27</v>
      </c>
      <c r="O2" s="4">
        <v>45748</v>
      </c>
      <c r="P2" s="4">
        <v>45755</v>
      </c>
      <c r="Q2" s="3" t="s">
        <v>28</v>
      </c>
      <c r="R2" s="3" t="s">
        <v>24</v>
      </c>
      <c r="S2" s="4">
        <v>45756</v>
      </c>
    </row>
    <row r="3" spans="1:19" x14ac:dyDescent="0.2">
      <c r="A3" s="3">
        <v>7336</v>
      </c>
      <c r="B3" s="3" t="s">
        <v>29</v>
      </c>
      <c r="C3" s="3" t="s">
        <v>30</v>
      </c>
      <c r="D3" s="3" t="s">
        <v>31</v>
      </c>
      <c r="E3" s="3" t="s">
        <v>22</v>
      </c>
      <c r="F3" s="3"/>
      <c r="G3" s="3" t="s">
        <v>24</v>
      </c>
      <c r="H3" s="3" t="s">
        <v>32</v>
      </c>
      <c r="I3" s="3">
        <v>1</v>
      </c>
      <c r="J3" s="3">
        <v>1</v>
      </c>
      <c r="K3" s="3">
        <v>1</v>
      </c>
      <c r="L3" s="3">
        <v>2</v>
      </c>
      <c r="M3" s="3" t="s">
        <v>26</v>
      </c>
      <c r="N3" s="3" t="s">
        <v>33</v>
      </c>
      <c r="O3" s="4">
        <v>45748</v>
      </c>
      <c r="P3" s="4">
        <v>45749</v>
      </c>
      <c r="Q3" s="3" t="s">
        <v>34</v>
      </c>
      <c r="R3" s="3" t="s">
        <v>24</v>
      </c>
      <c r="S3" s="4">
        <v>45751</v>
      </c>
    </row>
    <row r="4" spans="1:19" x14ac:dyDescent="0.2">
      <c r="A4" s="3">
        <v>7337</v>
      </c>
      <c r="B4" s="3" t="s">
        <v>29</v>
      </c>
      <c r="C4" s="3" t="s">
        <v>30</v>
      </c>
      <c r="D4" s="3" t="s">
        <v>35</v>
      </c>
      <c r="E4" s="3" t="s">
        <v>22</v>
      </c>
      <c r="F4" s="3"/>
      <c r="G4" s="3" t="s">
        <v>24</v>
      </c>
      <c r="H4" s="3" t="s">
        <v>32</v>
      </c>
      <c r="I4" s="3">
        <v>1</v>
      </c>
      <c r="J4" s="3">
        <v>1</v>
      </c>
      <c r="K4" s="3">
        <v>1</v>
      </c>
      <c r="L4" s="3">
        <v>2</v>
      </c>
      <c r="M4" s="3" t="s">
        <v>36</v>
      </c>
      <c r="N4" s="3" t="s">
        <v>37</v>
      </c>
      <c r="O4" s="4">
        <v>45748</v>
      </c>
      <c r="P4" s="4">
        <v>45749</v>
      </c>
      <c r="Q4" s="3" t="s">
        <v>34</v>
      </c>
      <c r="R4" s="3" t="s">
        <v>24</v>
      </c>
      <c r="S4" s="4">
        <v>45751</v>
      </c>
    </row>
    <row r="5" spans="1:19" x14ac:dyDescent="0.2">
      <c r="A5" s="3">
        <v>7338</v>
      </c>
      <c r="B5" s="3" t="s">
        <v>29</v>
      </c>
      <c r="C5" s="3" t="s">
        <v>30</v>
      </c>
      <c r="D5" s="3" t="s">
        <v>35</v>
      </c>
      <c r="E5" s="3" t="s">
        <v>22</v>
      </c>
      <c r="F5" s="3"/>
      <c r="G5" s="3" t="s">
        <v>24</v>
      </c>
      <c r="H5" s="3" t="s">
        <v>32</v>
      </c>
      <c r="I5" s="3">
        <v>1</v>
      </c>
      <c r="J5" s="3">
        <v>1</v>
      </c>
      <c r="K5" s="3">
        <v>1</v>
      </c>
      <c r="L5" s="3">
        <v>9</v>
      </c>
      <c r="M5" s="3" t="s">
        <v>38</v>
      </c>
      <c r="N5" s="3" t="s">
        <v>39</v>
      </c>
      <c r="O5" s="4">
        <v>45748</v>
      </c>
      <c r="P5" s="4">
        <v>45755</v>
      </c>
      <c r="Q5" s="3" t="s">
        <v>34</v>
      </c>
      <c r="R5" s="3" t="s">
        <v>24</v>
      </c>
      <c r="S5" s="4">
        <v>45764</v>
      </c>
    </row>
    <row r="6" spans="1:19" x14ac:dyDescent="0.2">
      <c r="A6" s="3">
        <v>7339</v>
      </c>
      <c r="B6" s="3" t="s">
        <v>29</v>
      </c>
      <c r="C6" s="3" t="s">
        <v>30</v>
      </c>
      <c r="D6" s="3" t="s">
        <v>31</v>
      </c>
      <c r="E6" s="3" t="s">
        <v>22</v>
      </c>
      <c r="F6" s="3"/>
      <c r="G6" s="3" t="s">
        <v>24</v>
      </c>
      <c r="H6" s="3" t="s">
        <v>32</v>
      </c>
      <c r="I6" s="3">
        <v>1</v>
      </c>
      <c r="J6" s="3">
        <v>1</v>
      </c>
      <c r="K6" s="3">
        <v>1</v>
      </c>
      <c r="L6" s="3">
        <v>7</v>
      </c>
      <c r="M6" s="3" t="s">
        <v>38</v>
      </c>
      <c r="N6" s="3" t="s">
        <v>40</v>
      </c>
      <c r="O6" s="4">
        <v>45748</v>
      </c>
      <c r="P6" s="4">
        <v>45755</v>
      </c>
      <c r="Q6" s="3" t="s">
        <v>41</v>
      </c>
      <c r="R6" s="3" t="s">
        <v>24</v>
      </c>
      <c r="S6" s="4">
        <v>45762</v>
      </c>
    </row>
    <row r="7" spans="1:19" x14ac:dyDescent="0.2">
      <c r="A7" s="3">
        <v>7340</v>
      </c>
      <c r="B7" s="3" t="s">
        <v>29</v>
      </c>
      <c r="C7" s="3" t="s">
        <v>30</v>
      </c>
      <c r="D7" s="3" t="s">
        <v>31</v>
      </c>
      <c r="E7" s="3" t="s">
        <v>22</v>
      </c>
      <c r="F7" s="3"/>
      <c r="G7" s="3" t="s">
        <v>24</v>
      </c>
      <c r="H7" s="3" t="s">
        <v>32</v>
      </c>
      <c r="I7" s="3">
        <v>1</v>
      </c>
      <c r="J7" s="3">
        <v>1</v>
      </c>
      <c r="K7" s="3">
        <v>1</v>
      </c>
      <c r="L7" s="3">
        <v>3</v>
      </c>
      <c r="M7" s="3" t="s">
        <v>38</v>
      </c>
      <c r="N7" s="3" t="s">
        <v>40</v>
      </c>
      <c r="O7" s="4">
        <v>45748</v>
      </c>
      <c r="P7" s="4">
        <v>45762</v>
      </c>
      <c r="Q7" s="3" t="s">
        <v>41</v>
      </c>
      <c r="R7" s="3" t="s">
        <v>24</v>
      </c>
      <c r="S7" s="4">
        <v>45765</v>
      </c>
    </row>
    <row r="8" spans="1:19" x14ac:dyDescent="0.2">
      <c r="A8" s="3">
        <v>7341</v>
      </c>
      <c r="B8" s="3" t="s">
        <v>29</v>
      </c>
      <c r="C8" s="3" t="s">
        <v>30</v>
      </c>
      <c r="D8" s="3" t="s">
        <v>31</v>
      </c>
      <c r="E8" s="3" t="s">
        <v>22</v>
      </c>
      <c r="F8" s="3"/>
      <c r="G8" s="3" t="s">
        <v>24</v>
      </c>
      <c r="H8" s="3" t="s">
        <v>32</v>
      </c>
      <c r="I8" s="3">
        <v>1</v>
      </c>
      <c r="J8" s="3">
        <v>1</v>
      </c>
      <c r="K8" s="3">
        <v>1</v>
      </c>
      <c r="L8" s="3">
        <v>1</v>
      </c>
      <c r="M8" s="3" t="s">
        <v>38</v>
      </c>
      <c r="N8" s="3" t="s">
        <v>40</v>
      </c>
      <c r="O8" s="4">
        <v>45748</v>
      </c>
      <c r="P8" s="4">
        <v>45762</v>
      </c>
      <c r="Q8" s="3" t="s">
        <v>41</v>
      </c>
      <c r="R8" s="3" t="s">
        <v>24</v>
      </c>
      <c r="S8" s="4">
        <v>45763</v>
      </c>
    </row>
    <row r="9" spans="1:19" x14ac:dyDescent="0.2">
      <c r="A9" s="3">
        <v>7344</v>
      </c>
      <c r="B9" s="3" t="s">
        <v>42</v>
      </c>
      <c r="C9" s="3" t="s">
        <v>43</v>
      </c>
      <c r="D9" s="3" t="s">
        <v>35</v>
      </c>
      <c r="E9" s="3" t="s">
        <v>22</v>
      </c>
      <c r="F9" s="3" t="s">
        <v>44</v>
      </c>
      <c r="G9" s="3" t="s">
        <v>24</v>
      </c>
      <c r="H9" s="3" t="s">
        <v>45</v>
      </c>
      <c r="I9" s="3">
        <v>3</v>
      </c>
      <c r="J9" s="3">
        <v>1</v>
      </c>
      <c r="K9" s="3">
        <v>1</v>
      </c>
      <c r="L9" s="3">
        <v>21</v>
      </c>
      <c r="M9" s="3" t="s">
        <v>36</v>
      </c>
      <c r="N9" s="3" t="s">
        <v>46</v>
      </c>
      <c r="O9" s="4">
        <v>45749</v>
      </c>
      <c r="P9" s="4">
        <v>45755</v>
      </c>
      <c r="Q9" s="3" t="s">
        <v>28</v>
      </c>
      <c r="R9" s="3" t="s">
        <v>47</v>
      </c>
      <c r="S9" s="4">
        <v>45776</v>
      </c>
    </row>
    <row r="10" spans="1:19" x14ac:dyDescent="0.2">
      <c r="A10" s="3">
        <v>7346</v>
      </c>
      <c r="B10" s="3" t="s">
        <v>19</v>
      </c>
      <c r="C10" s="3" t="s">
        <v>48</v>
      </c>
      <c r="D10" s="3" t="s">
        <v>49</v>
      </c>
      <c r="E10" s="3" t="s">
        <v>22</v>
      </c>
      <c r="F10" s="3" t="s">
        <v>50</v>
      </c>
      <c r="G10" s="3" t="s">
        <v>24</v>
      </c>
      <c r="H10" s="3" t="s">
        <v>25</v>
      </c>
      <c r="I10" s="3">
        <v>1</v>
      </c>
      <c r="J10" s="3">
        <v>1</v>
      </c>
      <c r="K10" s="3">
        <v>1</v>
      </c>
      <c r="L10" s="3">
        <v>0</v>
      </c>
      <c r="M10" s="3" t="s">
        <v>38</v>
      </c>
      <c r="N10" s="3" t="s">
        <v>51</v>
      </c>
      <c r="O10" s="4">
        <v>45749</v>
      </c>
      <c r="P10" s="4">
        <v>45749</v>
      </c>
      <c r="Q10" s="3" t="s">
        <v>28</v>
      </c>
      <c r="R10" s="3" t="s">
        <v>24</v>
      </c>
      <c r="S10" s="4">
        <v>45749</v>
      </c>
    </row>
    <row r="11" spans="1:19" x14ac:dyDescent="0.2">
      <c r="A11" s="3">
        <v>7347</v>
      </c>
      <c r="B11" s="3" t="s">
        <v>52</v>
      </c>
      <c r="C11" s="3" t="s">
        <v>53</v>
      </c>
      <c r="D11" s="3" t="s">
        <v>54</v>
      </c>
      <c r="E11" s="3" t="s">
        <v>22</v>
      </c>
      <c r="F11" s="3" t="s">
        <v>23</v>
      </c>
      <c r="G11" s="3" t="s">
        <v>24</v>
      </c>
      <c r="H11" s="3" t="s">
        <v>55</v>
      </c>
      <c r="I11" s="3">
        <v>1</v>
      </c>
      <c r="J11" s="3">
        <v>1</v>
      </c>
      <c r="K11" s="3">
        <v>1</v>
      </c>
      <c r="L11" s="3">
        <v>0</v>
      </c>
      <c r="M11" s="3" t="s">
        <v>36</v>
      </c>
      <c r="N11" s="3" t="s">
        <v>56</v>
      </c>
      <c r="O11" s="4">
        <v>45749</v>
      </c>
      <c r="P11" s="4">
        <v>45749</v>
      </c>
      <c r="Q11" s="3" t="s">
        <v>34</v>
      </c>
      <c r="R11" s="3" t="s">
        <v>24</v>
      </c>
      <c r="S11" s="4">
        <v>45749</v>
      </c>
    </row>
    <row r="12" spans="1:19" x14ac:dyDescent="0.2">
      <c r="A12" s="3">
        <v>7348</v>
      </c>
      <c r="B12" s="3" t="s">
        <v>57</v>
      </c>
      <c r="C12" s="3" t="s">
        <v>58</v>
      </c>
      <c r="D12" s="3" t="s">
        <v>49</v>
      </c>
      <c r="E12" s="3" t="s">
        <v>22</v>
      </c>
      <c r="F12" s="3" t="s">
        <v>44</v>
      </c>
      <c r="G12" s="3" t="s">
        <v>24</v>
      </c>
      <c r="H12" s="3" t="s">
        <v>59</v>
      </c>
      <c r="I12" s="3">
        <v>4</v>
      </c>
      <c r="J12" s="3">
        <v>1</v>
      </c>
      <c r="K12" s="3">
        <v>1</v>
      </c>
      <c r="L12" s="3">
        <v>7</v>
      </c>
      <c r="M12" s="3" t="s">
        <v>60</v>
      </c>
      <c r="N12" s="3" t="s">
        <v>56</v>
      </c>
      <c r="O12" s="4">
        <v>45751</v>
      </c>
      <c r="P12" s="4">
        <v>45755</v>
      </c>
      <c r="Q12" s="3" t="s">
        <v>34</v>
      </c>
      <c r="R12" s="3" t="s">
        <v>24</v>
      </c>
      <c r="S12" s="4">
        <v>45762</v>
      </c>
    </row>
    <row r="13" spans="1:19" x14ac:dyDescent="0.2">
      <c r="A13" s="3">
        <v>7349</v>
      </c>
      <c r="B13" s="3" t="s">
        <v>57</v>
      </c>
      <c r="C13" s="3" t="s">
        <v>58</v>
      </c>
      <c r="D13" s="3" t="s">
        <v>49</v>
      </c>
      <c r="E13" s="3" t="s">
        <v>61</v>
      </c>
      <c r="F13" s="3" t="s">
        <v>44</v>
      </c>
      <c r="G13" s="3" t="s">
        <v>24</v>
      </c>
      <c r="H13" s="3" t="s">
        <v>59</v>
      </c>
      <c r="I13" s="3">
        <v>7</v>
      </c>
      <c r="J13" s="3">
        <v>0</v>
      </c>
      <c r="K13" s="3">
        <v>0</v>
      </c>
      <c r="L13" s="3">
        <v>30</v>
      </c>
      <c r="M13" s="3" t="s">
        <v>60</v>
      </c>
      <c r="N13" s="3" t="s">
        <v>62</v>
      </c>
      <c r="O13" s="4">
        <v>45751</v>
      </c>
      <c r="P13" s="4">
        <v>45755</v>
      </c>
      <c r="Q13" s="3" t="s">
        <v>34</v>
      </c>
      <c r="R13" s="3" t="s">
        <v>24</v>
      </c>
      <c r="S13" s="4">
        <v>45785</v>
      </c>
    </row>
    <row r="14" spans="1:19" x14ac:dyDescent="0.2">
      <c r="A14" s="3">
        <v>7350</v>
      </c>
      <c r="B14" s="3" t="s">
        <v>57</v>
      </c>
      <c r="C14" s="3" t="s">
        <v>58</v>
      </c>
      <c r="D14" s="3" t="s">
        <v>49</v>
      </c>
      <c r="E14" s="3" t="s">
        <v>61</v>
      </c>
      <c r="F14" s="3" t="s">
        <v>44</v>
      </c>
      <c r="G14" s="3" t="s">
        <v>24</v>
      </c>
      <c r="H14" s="3" t="s">
        <v>59</v>
      </c>
      <c r="I14" s="3">
        <v>5</v>
      </c>
      <c r="J14" s="3">
        <v>0</v>
      </c>
      <c r="K14" s="3">
        <v>0</v>
      </c>
      <c r="L14" s="3">
        <v>30</v>
      </c>
      <c r="M14" s="3" t="s">
        <v>60</v>
      </c>
      <c r="N14" s="3" t="s">
        <v>56</v>
      </c>
      <c r="O14" s="4">
        <v>45751</v>
      </c>
      <c r="P14" s="4">
        <v>45755</v>
      </c>
      <c r="Q14" s="3" t="s">
        <v>34</v>
      </c>
      <c r="R14" s="3" t="s">
        <v>24</v>
      </c>
      <c r="S14" s="4">
        <v>45785</v>
      </c>
    </row>
    <row r="15" spans="1:19" x14ac:dyDescent="0.2">
      <c r="A15" s="3">
        <v>7352</v>
      </c>
      <c r="B15" s="3" t="s">
        <v>63</v>
      </c>
      <c r="C15" s="3" t="s">
        <v>64</v>
      </c>
      <c r="D15" s="3" t="s">
        <v>65</v>
      </c>
      <c r="E15" s="3" t="s">
        <v>22</v>
      </c>
      <c r="F15" s="3" t="s">
        <v>44</v>
      </c>
      <c r="G15" s="3" t="s">
        <v>24</v>
      </c>
      <c r="H15" s="3" t="s">
        <v>66</v>
      </c>
      <c r="I15" s="3">
        <v>5</v>
      </c>
      <c r="J15" s="3">
        <v>1</v>
      </c>
      <c r="K15" s="3">
        <v>1</v>
      </c>
      <c r="L15" s="3">
        <v>30</v>
      </c>
      <c r="M15" s="3" t="s">
        <v>36</v>
      </c>
      <c r="N15" s="3" t="s">
        <v>67</v>
      </c>
      <c r="O15" s="4">
        <v>45752</v>
      </c>
      <c r="P15" s="4">
        <v>45762</v>
      </c>
      <c r="Q15" s="3" t="s">
        <v>28</v>
      </c>
      <c r="R15" s="3" t="s">
        <v>24</v>
      </c>
      <c r="S15" s="4">
        <v>45792</v>
      </c>
    </row>
    <row r="16" spans="1:19" x14ac:dyDescent="0.2">
      <c r="A16" s="3">
        <v>7353</v>
      </c>
      <c r="B16" s="3" t="s">
        <v>63</v>
      </c>
      <c r="C16" s="3" t="s">
        <v>64</v>
      </c>
      <c r="D16" s="3" t="s">
        <v>65</v>
      </c>
      <c r="E16" s="3" t="s">
        <v>61</v>
      </c>
      <c r="F16" s="3" t="s">
        <v>44</v>
      </c>
      <c r="G16" s="3" t="s">
        <v>24</v>
      </c>
      <c r="H16" s="3" t="s">
        <v>66</v>
      </c>
      <c r="I16" s="3">
        <v>4</v>
      </c>
      <c r="J16" s="3">
        <v>0</v>
      </c>
      <c r="K16" s="3">
        <v>0</v>
      </c>
      <c r="L16" s="3">
        <v>31</v>
      </c>
      <c r="M16" s="3" t="s">
        <v>36</v>
      </c>
      <c r="N16" s="3" t="s">
        <v>67</v>
      </c>
      <c r="O16" s="4">
        <v>45752</v>
      </c>
      <c r="P16" s="4">
        <v>45762</v>
      </c>
      <c r="Q16" s="3" t="s">
        <v>28</v>
      </c>
      <c r="R16" s="3" t="s">
        <v>24</v>
      </c>
      <c r="S16" s="4">
        <v>45793</v>
      </c>
    </row>
    <row r="17" spans="1:19" x14ac:dyDescent="0.2">
      <c r="A17" s="3">
        <v>7354</v>
      </c>
      <c r="B17" s="3" t="s">
        <v>68</v>
      </c>
      <c r="C17" s="3" t="s">
        <v>69</v>
      </c>
      <c r="D17" s="3" t="s">
        <v>31</v>
      </c>
      <c r="E17" s="3" t="s">
        <v>22</v>
      </c>
      <c r="F17" s="3" t="s">
        <v>70</v>
      </c>
      <c r="G17" s="3" t="s">
        <v>24</v>
      </c>
      <c r="H17" s="3" t="s">
        <v>71</v>
      </c>
      <c r="I17" s="3">
        <v>1</v>
      </c>
      <c r="J17" s="3">
        <v>1</v>
      </c>
      <c r="K17" s="3">
        <v>1</v>
      </c>
      <c r="L17" s="3">
        <v>0</v>
      </c>
      <c r="M17" s="3" t="s">
        <v>38</v>
      </c>
      <c r="N17" s="3" t="s">
        <v>72</v>
      </c>
      <c r="O17" s="4">
        <v>45755</v>
      </c>
      <c r="P17" s="4">
        <v>45755</v>
      </c>
      <c r="Q17" s="3" t="s">
        <v>34</v>
      </c>
      <c r="R17" s="3" t="s">
        <v>47</v>
      </c>
      <c r="S17" s="4">
        <v>45755</v>
      </c>
    </row>
    <row r="18" spans="1:19" x14ac:dyDescent="0.2">
      <c r="A18" s="3">
        <v>7355</v>
      </c>
      <c r="B18" s="3" t="s">
        <v>19</v>
      </c>
      <c r="C18" s="3" t="s">
        <v>73</v>
      </c>
      <c r="D18" s="3" t="s">
        <v>74</v>
      </c>
      <c r="E18" s="3" t="s">
        <v>22</v>
      </c>
      <c r="F18" s="3" t="s">
        <v>23</v>
      </c>
      <c r="G18" s="3" t="s">
        <v>24</v>
      </c>
      <c r="H18" s="3" t="s">
        <v>25</v>
      </c>
      <c r="I18" s="3">
        <v>1</v>
      </c>
      <c r="J18" s="3">
        <v>1</v>
      </c>
      <c r="K18" s="3">
        <v>1</v>
      </c>
      <c r="L18" s="3">
        <v>1</v>
      </c>
      <c r="M18" s="3" t="s">
        <v>36</v>
      </c>
      <c r="N18" s="3" t="s">
        <v>75</v>
      </c>
      <c r="O18" s="4">
        <v>45755</v>
      </c>
      <c r="P18" s="4">
        <v>45757</v>
      </c>
      <c r="Q18" s="3" t="s">
        <v>34</v>
      </c>
      <c r="R18" s="3" t="s">
        <v>24</v>
      </c>
      <c r="S18" s="4">
        <v>45758</v>
      </c>
    </row>
    <row r="19" spans="1:19" x14ac:dyDescent="0.2">
      <c r="A19" s="3">
        <v>7360</v>
      </c>
      <c r="B19" s="3" t="s">
        <v>76</v>
      </c>
      <c r="C19" s="3" t="s">
        <v>77</v>
      </c>
      <c r="D19" s="3" t="s">
        <v>35</v>
      </c>
      <c r="E19" s="3" t="s">
        <v>22</v>
      </c>
      <c r="F19" s="3"/>
      <c r="G19" s="3" t="s">
        <v>24</v>
      </c>
      <c r="H19" s="3" t="s">
        <v>66</v>
      </c>
      <c r="I19" s="3">
        <v>1</v>
      </c>
      <c r="J19" s="3">
        <v>1</v>
      </c>
      <c r="K19" s="3">
        <v>1</v>
      </c>
      <c r="L19" s="3">
        <v>49</v>
      </c>
      <c r="M19" s="3" t="s">
        <v>78</v>
      </c>
      <c r="N19" s="3" t="s">
        <v>79</v>
      </c>
      <c r="O19" s="4">
        <v>45755</v>
      </c>
      <c r="P19" s="4">
        <v>45755</v>
      </c>
      <c r="Q19" s="3" t="s">
        <v>28</v>
      </c>
      <c r="R19" s="3" t="s">
        <v>24</v>
      </c>
      <c r="S19" s="4">
        <v>45804</v>
      </c>
    </row>
    <row r="20" spans="1:19" x14ac:dyDescent="0.2">
      <c r="A20" s="3">
        <v>7362</v>
      </c>
      <c r="B20" s="3" t="s">
        <v>80</v>
      </c>
      <c r="C20" s="3" t="s">
        <v>81</v>
      </c>
      <c r="D20" s="3" t="s">
        <v>82</v>
      </c>
      <c r="E20" s="3" t="s">
        <v>61</v>
      </c>
      <c r="F20" s="3" t="s">
        <v>44</v>
      </c>
      <c r="G20" s="3" t="s">
        <v>24</v>
      </c>
      <c r="H20" s="3" t="s">
        <v>25</v>
      </c>
      <c r="I20" s="3">
        <v>6</v>
      </c>
      <c r="J20" s="3">
        <v>0</v>
      </c>
      <c r="K20" s="3">
        <v>0</v>
      </c>
      <c r="L20" s="3">
        <v>72</v>
      </c>
      <c r="M20" s="3" t="s">
        <v>36</v>
      </c>
      <c r="N20" s="3" t="s">
        <v>83</v>
      </c>
      <c r="O20" s="4">
        <v>45755</v>
      </c>
      <c r="P20" s="4">
        <v>45761</v>
      </c>
      <c r="Q20" s="3" t="s">
        <v>28</v>
      </c>
      <c r="R20" s="3" t="s">
        <v>24</v>
      </c>
      <c r="S20" s="4">
        <v>45833</v>
      </c>
    </row>
    <row r="21" spans="1:19" x14ac:dyDescent="0.2">
      <c r="A21" s="3">
        <v>7364</v>
      </c>
      <c r="B21" s="3" t="s">
        <v>63</v>
      </c>
      <c r="C21" s="3" t="s">
        <v>84</v>
      </c>
      <c r="D21" s="3" t="s">
        <v>85</v>
      </c>
      <c r="E21" s="3" t="s">
        <v>61</v>
      </c>
      <c r="F21" s="3" t="s">
        <v>44</v>
      </c>
      <c r="G21" s="3" t="s">
        <v>24</v>
      </c>
      <c r="H21" s="3" t="s">
        <v>66</v>
      </c>
      <c r="I21" s="3">
        <v>7</v>
      </c>
      <c r="J21" s="3">
        <v>0</v>
      </c>
      <c r="K21" s="3">
        <v>0</v>
      </c>
      <c r="L21" s="3">
        <v>22</v>
      </c>
      <c r="M21" s="3" t="s">
        <v>36</v>
      </c>
      <c r="N21" s="3" t="s">
        <v>86</v>
      </c>
      <c r="O21" s="4">
        <v>45755</v>
      </c>
      <c r="P21" s="4">
        <v>45757</v>
      </c>
      <c r="Q21" s="3" t="s">
        <v>28</v>
      </c>
      <c r="R21" s="3" t="s">
        <v>24</v>
      </c>
      <c r="S21" s="4">
        <v>45779</v>
      </c>
    </row>
    <row r="22" spans="1:19" x14ac:dyDescent="0.2">
      <c r="A22" s="3">
        <v>7367</v>
      </c>
      <c r="B22" s="3" t="s">
        <v>87</v>
      </c>
      <c r="C22" s="3" t="s">
        <v>88</v>
      </c>
      <c r="D22" s="3" t="s">
        <v>89</v>
      </c>
      <c r="E22" s="3" t="s">
        <v>22</v>
      </c>
      <c r="F22" s="3" t="s">
        <v>70</v>
      </c>
      <c r="G22" s="3" t="s">
        <v>24</v>
      </c>
      <c r="H22" s="3" t="s">
        <v>90</v>
      </c>
      <c r="I22" s="3">
        <v>1</v>
      </c>
      <c r="J22" s="3">
        <v>1</v>
      </c>
      <c r="K22" s="3">
        <v>1</v>
      </c>
      <c r="L22" s="3">
        <v>5</v>
      </c>
      <c r="M22" s="3" t="s">
        <v>36</v>
      </c>
      <c r="N22" s="3" t="s">
        <v>91</v>
      </c>
      <c r="O22" s="4">
        <v>45756</v>
      </c>
      <c r="P22" s="4">
        <v>45756</v>
      </c>
      <c r="Q22" s="3" t="s">
        <v>28</v>
      </c>
      <c r="R22" s="3" t="s">
        <v>47</v>
      </c>
      <c r="S22" s="4">
        <v>45761</v>
      </c>
    </row>
    <row r="23" spans="1:19" x14ac:dyDescent="0.2">
      <c r="A23" s="3">
        <v>7369</v>
      </c>
      <c r="B23" s="3" t="s">
        <v>19</v>
      </c>
      <c r="C23" s="3" t="s">
        <v>20</v>
      </c>
      <c r="D23" s="3" t="s">
        <v>21</v>
      </c>
      <c r="E23" s="3" t="s">
        <v>22</v>
      </c>
      <c r="F23" s="3"/>
      <c r="G23" s="3" t="s">
        <v>24</v>
      </c>
      <c r="H23" s="3" t="s">
        <v>25</v>
      </c>
      <c r="I23" s="3">
        <v>1</v>
      </c>
      <c r="J23" s="3">
        <v>1</v>
      </c>
      <c r="K23" s="3">
        <v>1</v>
      </c>
      <c r="L23" s="3">
        <v>2</v>
      </c>
      <c r="M23" s="3" t="s">
        <v>36</v>
      </c>
      <c r="N23" s="3" t="s">
        <v>75</v>
      </c>
      <c r="O23" s="4">
        <v>45756</v>
      </c>
      <c r="P23" s="4">
        <v>45758</v>
      </c>
      <c r="Q23" s="3" t="s">
        <v>34</v>
      </c>
      <c r="R23" s="3" t="s">
        <v>47</v>
      </c>
      <c r="S23" s="4">
        <v>45760</v>
      </c>
    </row>
    <row r="24" spans="1:19" x14ac:dyDescent="0.2">
      <c r="A24" s="3">
        <v>7370</v>
      </c>
      <c r="B24" s="3" t="s">
        <v>92</v>
      </c>
      <c r="C24" s="3" t="s">
        <v>93</v>
      </c>
      <c r="D24" s="3" t="s">
        <v>94</v>
      </c>
      <c r="E24" s="3" t="s">
        <v>61</v>
      </c>
      <c r="F24" s="3"/>
      <c r="G24" s="3" t="s">
        <v>24</v>
      </c>
      <c r="H24" s="3" t="s">
        <v>95</v>
      </c>
      <c r="I24" s="3">
        <v>2</v>
      </c>
      <c r="J24" s="3">
        <v>0</v>
      </c>
      <c r="K24" s="3">
        <v>0</v>
      </c>
      <c r="L24" s="3">
        <v>37</v>
      </c>
      <c r="M24" s="3" t="s">
        <v>38</v>
      </c>
      <c r="N24" s="3"/>
      <c r="O24" s="4">
        <v>45756</v>
      </c>
      <c r="P24" s="4">
        <v>45769</v>
      </c>
      <c r="Q24" s="3" t="s">
        <v>28</v>
      </c>
      <c r="R24" s="3" t="s">
        <v>24</v>
      </c>
      <c r="S24" s="4">
        <v>45806</v>
      </c>
    </row>
    <row r="25" spans="1:19" x14ac:dyDescent="0.2">
      <c r="A25" s="3">
        <v>7372</v>
      </c>
      <c r="B25" s="3" t="s">
        <v>96</v>
      </c>
      <c r="C25" s="3" t="s">
        <v>97</v>
      </c>
      <c r="D25" s="3" t="s">
        <v>98</v>
      </c>
      <c r="E25" s="3" t="s">
        <v>22</v>
      </c>
      <c r="F25" s="3" t="s">
        <v>23</v>
      </c>
      <c r="G25" s="3" t="s">
        <v>24</v>
      </c>
      <c r="H25" s="3" t="s">
        <v>99</v>
      </c>
      <c r="I25" s="3">
        <v>5</v>
      </c>
      <c r="J25" s="3">
        <v>1</v>
      </c>
      <c r="K25" s="3">
        <v>1</v>
      </c>
      <c r="L25" s="3">
        <v>8</v>
      </c>
      <c r="M25" s="3" t="s">
        <v>100</v>
      </c>
      <c r="N25" s="3" t="s">
        <v>101</v>
      </c>
      <c r="O25" s="4">
        <v>45757</v>
      </c>
      <c r="P25" s="4">
        <v>45796</v>
      </c>
      <c r="Q25" s="3" t="s">
        <v>28</v>
      </c>
      <c r="R25" s="3" t="s">
        <v>24</v>
      </c>
      <c r="S25" s="4">
        <v>45804</v>
      </c>
    </row>
    <row r="26" spans="1:19" x14ac:dyDescent="0.2">
      <c r="A26" s="3">
        <v>7374</v>
      </c>
      <c r="B26" s="3" t="s">
        <v>57</v>
      </c>
      <c r="C26" s="3" t="s">
        <v>102</v>
      </c>
      <c r="D26" s="3" t="s">
        <v>35</v>
      </c>
      <c r="E26" s="3" t="s">
        <v>61</v>
      </c>
      <c r="F26" s="3" t="s">
        <v>23</v>
      </c>
      <c r="G26" s="3" t="s">
        <v>24</v>
      </c>
      <c r="H26" s="3" t="s">
        <v>59</v>
      </c>
      <c r="I26" s="3">
        <v>2</v>
      </c>
      <c r="J26" s="3">
        <v>0</v>
      </c>
      <c r="K26" s="3">
        <v>0</v>
      </c>
      <c r="L26" s="3">
        <v>24</v>
      </c>
      <c r="M26" s="3" t="s">
        <v>36</v>
      </c>
      <c r="N26" s="3" t="s">
        <v>103</v>
      </c>
      <c r="O26" s="4">
        <v>45757</v>
      </c>
      <c r="P26" s="4">
        <v>45761</v>
      </c>
      <c r="Q26" s="3" t="s">
        <v>41</v>
      </c>
      <c r="R26" s="3" t="s">
        <v>24</v>
      </c>
      <c r="S26" s="4">
        <v>45785</v>
      </c>
    </row>
    <row r="27" spans="1:19" x14ac:dyDescent="0.2">
      <c r="A27" s="3">
        <v>7375</v>
      </c>
      <c r="B27" s="3" t="s">
        <v>104</v>
      </c>
      <c r="C27" s="3" t="s">
        <v>105</v>
      </c>
      <c r="D27" s="3" t="s">
        <v>106</v>
      </c>
      <c r="E27" s="3" t="s">
        <v>22</v>
      </c>
      <c r="F27" s="3" t="s">
        <v>107</v>
      </c>
      <c r="G27" s="3" t="s">
        <v>24</v>
      </c>
      <c r="H27" s="3" t="s">
        <v>90</v>
      </c>
      <c r="I27" s="3">
        <v>1</v>
      </c>
      <c r="J27" s="3">
        <v>1</v>
      </c>
      <c r="K27" s="3">
        <v>1</v>
      </c>
      <c r="L27" s="3">
        <v>0</v>
      </c>
      <c r="M27" s="3" t="s">
        <v>108</v>
      </c>
      <c r="N27" s="3" t="s">
        <v>109</v>
      </c>
      <c r="O27" s="4">
        <v>45758</v>
      </c>
      <c r="P27" s="4">
        <v>45758</v>
      </c>
      <c r="Q27" s="3" t="s">
        <v>34</v>
      </c>
      <c r="R27" s="3" t="s">
        <v>24</v>
      </c>
      <c r="S27" s="4">
        <v>45758</v>
      </c>
    </row>
    <row r="28" spans="1:19" x14ac:dyDescent="0.2">
      <c r="A28" s="3">
        <v>7376</v>
      </c>
      <c r="B28" s="3" t="s">
        <v>104</v>
      </c>
      <c r="C28" s="3" t="s">
        <v>105</v>
      </c>
      <c r="D28" s="3" t="s">
        <v>106</v>
      </c>
      <c r="E28" s="3" t="s">
        <v>22</v>
      </c>
      <c r="F28" s="3" t="s">
        <v>107</v>
      </c>
      <c r="G28" s="3" t="s">
        <v>24</v>
      </c>
      <c r="H28" s="3" t="s">
        <v>90</v>
      </c>
      <c r="I28" s="3">
        <v>1</v>
      </c>
      <c r="J28" s="3">
        <v>1</v>
      </c>
      <c r="K28" s="3">
        <v>1</v>
      </c>
      <c r="L28" s="3">
        <v>0</v>
      </c>
      <c r="M28" s="3" t="s">
        <v>36</v>
      </c>
      <c r="N28" s="3" t="s">
        <v>109</v>
      </c>
      <c r="O28" s="4">
        <v>45758</v>
      </c>
      <c r="P28" s="4">
        <v>45758</v>
      </c>
      <c r="Q28" s="3" t="s">
        <v>34</v>
      </c>
      <c r="R28" s="3" t="s">
        <v>24</v>
      </c>
      <c r="S28" s="4">
        <v>45758</v>
      </c>
    </row>
    <row r="29" spans="1:19" x14ac:dyDescent="0.2">
      <c r="A29" s="3">
        <v>7377</v>
      </c>
      <c r="B29" s="3" t="s">
        <v>110</v>
      </c>
      <c r="C29" s="3" t="s">
        <v>71</v>
      </c>
      <c r="D29" s="3" t="s">
        <v>111</v>
      </c>
      <c r="E29" s="3" t="s">
        <v>22</v>
      </c>
      <c r="F29" s="3"/>
      <c r="G29" s="3" t="s">
        <v>24</v>
      </c>
      <c r="H29" s="3" t="s">
        <v>112</v>
      </c>
      <c r="I29" s="3">
        <v>1</v>
      </c>
      <c r="J29" s="3">
        <v>1</v>
      </c>
      <c r="K29" s="3">
        <v>1</v>
      </c>
      <c r="L29" s="3">
        <v>0</v>
      </c>
      <c r="M29" s="3" t="s">
        <v>38</v>
      </c>
      <c r="N29" s="3" t="s">
        <v>56</v>
      </c>
      <c r="O29" s="4">
        <v>45758</v>
      </c>
      <c r="P29" s="4">
        <v>45758</v>
      </c>
      <c r="Q29" s="3" t="s">
        <v>34</v>
      </c>
      <c r="R29" s="3" t="s">
        <v>24</v>
      </c>
      <c r="S29" s="4">
        <v>45758</v>
      </c>
    </row>
    <row r="30" spans="1:19" x14ac:dyDescent="0.2">
      <c r="A30" s="3">
        <v>7378</v>
      </c>
      <c r="B30" s="3" t="s">
        <v>19</v>
      </c>
      <c r="C30" s="3" t="s">
        <v>113</v>
      </c>
      <c r="D30" s="3" t="s">
        <v>114</v>
      </c>
      <c r="E30" s="3" t="s">
        <v>61</v>
      </c>
      <c r="F30" s="3" t="s">
        <v>23</v>
      </c>
      <c r="G30" s="3" t="s">
        <v>24</v>
      </c>
      <c r="H30" s="3" t="s">
        <v>25</v>
      </c>
      <c r="I30" s="3">
        <v>4</v>
      </c>
      <c r="J30" s="3">
        <v>0</v>
      </c>
      <c r="K30" s="3">
        <v>0</v>
      </c>
      <c r="L30" s="3">
        <v>42</v>
      </c>
      <c r="M30" s="3" t="s">
        <v>38</v>
      </c>
      <c r="N30" s="3" t="s">
        <v>115</v>
      </c>
      <c r="O30" s="4">
        <v>45758</v>
      </c>
      <c r="P30" s="4">
        <v>45771</v>
      </c>
      <c r="Q30" s="3" t="s">
        <v>28</v>
      </c>
      <c r="R30" s="3" t="s">
        <v>24</v>
      </c>
      <c r="S30" s="4">
        <v>45813</v>
      </c>
    </row>
    <row r="31" spans="1:19" x14ac:dyDescent="0.2">
      <c r="A31" s="3">
        <v>7380</v>
      </c>
      <c r="B31" s="3" t="s">
        <v>116</v>
      </c>
      <c r="C31" s="3" t="s">
        <v>117</v>
      </c>
      <c r="D31" s="3" t="s">
        <v>118</v>
      </c>
      <c r="E31" s="3" t="s">
        <v>22</v>
      </c>
      <c r="F31" s="3" t="s">
        <v>44</v>
      </c>
      <c r="G31" s="3" t="s">
        <v>24</v>
      </c>
      <c r="H31" s="3" t="s">
        <v>25</v>
      </c>
      <c r="I31" s="3">
        <v>4</v>
      </c>
      <c r="J31" s="3">
        <v>1</v>
      </c>
      <c r="K31" s="3">
        <v>1</v>
      </c>
      <c r="L31" s="3">
        <v>4</v>
      </c>
      <c r="M31" s="3" t="s">
        <v>36</v>
      </c>
      <c r="N31" s="3" t="s">
        <v>119</v>
      </c>
      <c r="O31" s="4">
        <v>45761</v>
      </c>
      <c r="P31" s="4">
        <v>45782</v>
      </c>
      <c r="Q31" s="3" t="s">
        <v>28</v>
      </c>
      <c r="R31" s="3" t="s">
        <v>24</v>
      </c>
      <c r="S31" s="4">
        <v>45786</v>
      </c>
    </row>
    <row r="32" spans="1:19" x14ac:dyDescent="0.2">
      <c r="A32" s="3">
        <v>7383</v>
      </c>
      <c r="B32" s="3" t="s">
        <v>76</v>
      </c>
      <c r="C32" s="3" t="s">
        <v>77</v>
      </c>
      <c r="D32" s="3" t="s">
        <v>82</v>
      </c>
      <c r="E32" s="3" t="s">
        <v>61</v>
      </c>
      <c r="F32" s="3" t="s">
        <v>120</v>
      </c>
      <c r="G32" s="3" t="s">
        <v>24</v>
      </c>
      <c r="H32" s="3" t="s">
        <v>66</v>
      </c>
      <c r="I32" s="3">
        <v>1</v>
      </c>
      <c r="J32" s="3">
        <v>0</v>
      </c>
      <c r="K32" s="3">
        <v>0</v>
      </c>
      <c r="L32" s="3">
        <v>16</v>
      </c>
      <c r="M32" s="3" t="s">
        <v>100</v>
      </c>
      <c r="N32" s="3" t="s">
        <v>121</v>
      </c>
      <c r="O32" s="4">
        <v>45761</v>
      </c>
      <c r="P32" s="4">
        <v>45770</v>
      </c>
      <c r="Q32" s="3" t="s">
        <v>28</v>
      </c>
      <c r="R32" s="3" t="s">
        <v>24</v>
      </c>
      <c r="S32" s="4">
        <v>45786</v>
      </c>
    </row>
    <row r="33" spans="1:19" x14ac:dyDescent="0.2">
      <c r="A33" s="3">
        <v>7385</v>
      </c>
      <c r="B33" s="3" t="s">
        <v>63</v>
      </c>
      <c r="C33" s="3" t="s">
        <v>122</v>
      </c>
      <c r="D33" s="3" t="s">
        <v>123</v>
      </c>
      <c r="E33" s="3" t="s">
        <v>22</v>
      </c>
      <c r="F33" s="3" t="s">
        <v>44</v>
      </c>
      <c r="G33" s="3" t="s">
        <v>24</v>
      </c>
      <c r="H33" s="3" t="s">
        <v>66</v>
      </c>
      <c r="I33" s="3">
        <v>10</v>
      </c>
      <c r="J33" s="3">
        <v>1</v>
      </c>
      <c r="K33" s="3">
        <v>1</v>
      </c>
      <c r="L33" s="3">
        <v>61</v>
      </c>
      <c r="M33" s="3" t="s">
        <v>60</v>
      </c>
      <c r="N33" s="3" t="s">
        <v>124</v>
      </c>
      <c r="O33" s="4">
        <v>45762</v>
      </c>
      <c r="P33" s="4">
        <v>45764</v>
      </c>
      <c r="Q33" s="3" t="s">
        <v>28</v>
      </c>
      <c r="R33" s="3" t="s">
        <v>24</v>
      </c>
      <c r="S33" s="4">
        <v>45825</v>
      </c>
    </row>
    <row r="34" spans="1:19" x14ac:dyDescent="0.2">
      <c r="A34" s="3">
        <v>7386</v>
      </c>
      <c r="B34" s="3" t="s">
        <v>63</v>
      </c>
      <c r="C34" s="3" t="s">
        <v>122</v>
      </c>
      <c r="D34" s="3" t="s">
        <v>123</v>
      </c>
      <c r="E34" s="3" t="s">
        <v>22</v>
      </c>
      <c r="F34" s="3" t="s">
        <v>44</v>
      </c>
      <c r="G34" s="3" t="s">
        <v>24</v>
      </c>
      <c r="H34" s="3" t="s">
        <v>66</v>
      </c>
      <c r="I34" s="3">
        <v>10</v>
      </c>
      <c r="J34" s="3">
        <v>1</v>
      </c>
      <c r="K34" s="3">
        <v>1</v>
      </c>
      <c r="L34" s="3">
        <v>61</v>
      </c>
      <c r="M34" s="3" t="s">
        <v>60</v>
      </c>
      <c r="N34" s="3" t="s">
        <v>124</v>
      </c>
      <c r="O34" s="4">
        <v>45762</v>
      </c>
      <c r="P34" s="4">
        <v>45764</v>
      </c>
      <c r="Q34" s="3" t="s">
        <v>28</v>
      </c>
      <c r="R34" s="3" t="s">
        <v>24</v>
      </c>
      <c r="S34" s="4">
        <v>45825</v>
      </c>
    </row>
    <row r="35" spans="1:19" x14ac:dyDescent="0.2">
      <c r="A35" s="3">
        <v>7387</v>
      </c>
      <c r="B35" s="3" t="s">
        <v>80</v>
      </c>
      <c r="C35" s="3" t="s">
        <v>125</v>
      </c>
      <c r="D35" s="3" t="s">
        <v>126</v>
      </c>
      <c r="E35" s="3" t="s">
        <v>22</v>
      </c>
      <c r="F35" s="3" t="s">
        <v>44</v>
      </c>
      <c r="G35" s="3" t="s">
        <v>24</v>
      </c>
      <c r="H35" s="3" t="s">
        <v>25</v>
      </c>
      <c r="I35" s="3">
        <v>5</v>
      </c>
      <c r="J35" s="3">
        <v>1</v>
      </c>
      <c r="K35" s="3">
        <v>1</v>
      </c>
      <c r="L35" s="3">
        <v>6</v>
      </c>
      <c r="M35" s="3" t="s">
        <v>60</v>
      </c>
      <c r="N35" s="3" t="s">
        <v>127</v>
      </c>
      <c r="O35" s="4">
        <v>45762</v>
      </c>
      <c r="P35" s="4">
        <v>45799</v>
      </c>
      <c r="Q35" s="3" t="s">
        <v>28</v>
      </c>
      <c r="R35" s="3" t="s">
        <v>24</v>
      </c>
      <c r="S35" s="4">
        <v>45805</v>
      </c>
    </row>
    <row r="36" spans="1:19" x14ac:dyDescent="0.2">
      <c r="A36" s="3">
        <v>7388</v>
      </c>
      <c r="B36" s="3" t="s">
        <v>80</v>
      </c>
      <c r="C36" s="3" t="s">
        <v>128</v>
      </c>
      <c r="D36" s="3" t="s">
        <v>21</v>
      </c>
      <c r="E36" s="3" t="s">
        <v>61</v>
      </c>
      <c r="F36" s="3"/>
      <c r="G36" s="3" t="s">
        <v>24</v>
      </c>
      <c r="H36" s="3" t="s">
        <v>25</v>
      </c>
      <c r="I36" s="3">
        <v>10</v>
      </c>
      <c r="J36" s="3">
        <v>0</v>
      </c>
      <c r="K36" s="3">
        <v>0</v>
      </c>
      <c r="L36" s="3">
        <v>109</v>
      </c>
      <c r="M36" s="3" t="s">
        <v>78</v>
      </c>
      <c r="N36" s="3" t="s">
        <v>129</v>
      </c>
      <c r="O36" s="4">
        <v>45762</v>
      </c>
      <c r="P36" s="4">
        <v>45775</v>
      </c>
      <c r="Q36" s="3" t="s">
        <v>28</v>
      </c>
      <c r="R36" s="3" t="s">
        <v>24</v>
      </c>
      <c r="S36" s="4">
        <v>45884</v>
      </c>
    </row>
    <row r="37" spans="1:19" x14ac:dyDescent="0.2">
      <c r="A37" s="3">
        <v>7389</v>
      </c>
      <c r="B37" s="3" t="s">
        <v>130</v>
      </c>
      <c r="C37" s="3" t="s">
        <v>131</v>
      </c>
      <c r="D37" s="3" t="s">
        <v>31</v>
      </c>
      <c r="E37" s="3" t="s">
        <v>22</v>
      </c>
      <c r="F37" s="3" t="s">
        <v>107</v>
      </c>
      <c r="G37" s="3" t="s">
        <v>24</v>
      </c>
      <c r="H37" s="3" t="s">
        <v>132</v>
      </c>
      <c r="I37" s="3">
        <v>1</v>
      </c>
      <c r="J37" s="3">
        <v>1</v>
      </c>
      <c r="K37" s="3">
        <v>1</v>
      </c>
      <c r="L37" s="3">
        <v>0</v>
      </c>
      <c r="M37" s="3" t="s">
        <v>38</v>
      </c>
      <c r="N37" s="3" t="s">
        <v>133</v>
      </c>
      <c r="O37" s="4">
        <v>45762</v>
      </c>
      <c r="P37" s="4">
        <v>45762</v>
      </c>
      <c r="Q37" s="3" t="s">
        <v>134</v>
      </c>
      <c r="R37" s="3" t="s">
        <v>24</v>
      </c>
      <c r="S37" s="4">
        <v>45762</v>
      </c>
    </row>
    <row r="38" spans="1:19" x14ac:dyDescent="0.2">
      <c r="A38" s="3">
        <v>7390</v>
      </c>
      <c r="B38" s="3" t="s">
        <v>135</v>
      </c>
      <c r="C38" s="3" t="s">
        <v>136</v>
      </c>
      <c r="D38" s="3" t="s">
        <v>137</v>
      </c>
      <c r="E38" s="3" t="s">
        <v>22</v>
      </c>
      <c r="F38" s="3" t="s">
        <v>44</v>
      </c>
      <c r="G38" s="3" t="s">
        <v>24</v>
      </c>
      <c r="H38" s="3" t="s">
        <v>132</v>
      </c>
      <c r="I38" s="3">
        <v>2</v>
      </c>
      <c r="J38" s="3">
        <v>1</v>
      </c>
      <c r="K38" s="3">
        <v>1</v>
      </c>
      <c r="L38" s="3">
        <v>34</v>
      </c>
      <c r="M38" s="3" t="s">
        <v>38</v>
      </c>
      <c r="N38" s="3" t="s">
        <v>138</v>
      </c>
      <c r="O38" s="4">
        <v>45763</v>
      </c>
      <c r="P38" s="4">
        <v>45764</v>
      </c>
      <c r="Q38" s="3" t="s">
        <v>28</v>
      </c>
      <c r="R38" s="3" t="s">
        <v>24</v>
      </c>
      <c r="S38" s="4">
        <v>45798</v>
      </c>
    </row>
    <row r="39" spans="1:19" x14ac:dyDescent="0.2">
      <c r="A39" s="3">
        <v>7391</v>
      </c>
      <c r="B39" s="3" t="s">
        <v>139</v>
      </c>
      <c r="C39" s="3" t="s">
        <v>140</v>
      </c>
      <c r="D39" s="3" t="s">
        <v>141</v>
      </c>
      <c r="E39" s="3" t="s">
        <v>22</v>
      </c>
      <c r="F39" s="3" t="s">
        <v>23</v>
      </c>
      <c r="G39" s="3" t="s">
        <v>24</v>
      </c>
      <c r="H39" s="3" t="s">
        <v>142</v>
      </c>
      <c r="I39" s="3">
        <v>5</v>
      </c>
      <c r="J39" s="3">
        <v>1</v>
      </c>
      <c r="K39" s="3">
        <v>1</v>
      </c>
      <c r="L39" s="3">
        <v>2</v>
      </c>
      <c r="M39" s="3" t="s">
        <v>78</v>
      </c>
      <c r="N39" s="3" t="s">
        <v>143</v>
      </c>
      <c r="O39" s="4">
        <v>45764</v>
      </c>
      <c r="P39" s="4">
        <v>45791</v>
      </c>
      <c r="Q39" s="3" t="s">
        <v>28</v>
      </c>
      <c r="R39" s="3" t="s">
        <v>47</v>
      </c>
      <c r="S39" s="4">
        <v>45793</v>
      </c>
    </row>
    <row r="40" spans="1:19" x14ac:dyDescent="0.2">
      <c r="A40" s="3">
        <v>7392</v>
      </c>
      <c r="B40" s="3" t="s">
        <v>57</v>
      </c>
      <c r="C40" s="3" t="s">
        <v>144</v>
      </c>
      <c r="D40" s="3" t="s">
        <v>145</v>
      </c>
      <c r="E40" s="3" t="s">
        <v>61</v>
      </c>
      <c r="F40" s="3"/>
      <c r="G40" s="3" t="s">
        <v>24</v>
      </c>
      <c r="H40" s="3" t="s">
        <v>59</v>
      </c>
      <c r="I40" s="3">
        <v>4</v>
      </c>
      <c r="J40" s="3">
        <v>0</v>
      </c>
      <c r="K40" s="3">
        <v>0</v>
      </c>
      <c r="L40" s="3">
        <v>28</v>
      </c>
      <c r="M40" s="3" t="s">
        <v>36</v>
      </c>
      <c r="N40" s="3" t="s">
        <v>146</v>
      </c>
      <c r="O40" s="4">
        <v>45766</v>
      </c>
      <c r="P40" s="4">
        <v>45770</v>
      </c>
      <c r="Q40" s="3" t="s">
        <v>28</v>
      </c>
      <c r="R40" s="3" t="s">
        <v>24</v>
      </c>
      <c r="S40" s="4">
        <v>45798</v>
      </c>
    </row>
    <row r="41" spans="1:19" x14ac:dyDescent="0.2">
      <c r="A41" s="3">
        <v>7393</v>
      </c>
      <c r="B41" s="3" t="s">
        <v>57</v>
      </c>
      <c r="C41" s="3" t="s">
        <v>144</v>
      </c>
      <c r="D41" s="3" t="s">
        <v>137</v>
      </c>
      <c r="E41" s="3" t="s">
        <v>61</v>
      </c>
      <c r="F41" s="3"/>
      <c r="G41" s="3" t="s">
        <v>24</v>
      </c>
      <c r="H41" s="3" t="s">
        <v>59</v>
      </c>
      <c r="I41" s="3">
        <v>2</v>
      </c>
      <c r="J41" s="3">
        <v>0</v>
      </c>
      <c r="K41" s="3">
        <v>0</v>
      </c>
      <c r="L41" s="3">
        <v>26</v>
      </c>
      <c r="M41" s="3" t="s">
        <v>36</v>
      </c>
      <c r="N41" s="3" t="s">
        <v>147</v>
      </c>
      <c r="O41" s="4">
        <v>45766</v>
      </c>
      <c r="P41" s="4">
        <v>45770</v>
      </c>
      <c r="Q41" s="3" t="s">
        <v>41</v>
      </c>
      <c r="R41" s="3" t="s">
        <v>24</v>
      </c>
      <c r="S41" s="4">
        <v>45796</v>
      </c>
    </row>
    <row r="42" spans="1:19" x14ac:dyDescent="0.2">
      <c r="A42" s="3">
        <v>7396</v>
      </c>
      <c r="B42" s="3" t="s">
        <v>57</v>
      </c>
      <c r="C42" s="3" t="s">
        <v>148</v>
      </c>
      <c r="D42" s="3" t="s">
        <v>35</v>
      </c>
      <c r="E42" s="3" t="s">
        <v>22</v>
      </c>
      <c r="F42" s="3"/>
      <c r="G42" s="3" t="s">
        <v>24</v>
      </c>
      <c r="H42" s="3" t="s">
        <v>59</v>
      </c>
      <c r="I42" s="3">
        <v>1</v>
      </c>
      <c r="J42" s="3">
        <v>1</v>
      </c>
      <c r="K42" s="3">
        <v>1</v>
      </c>
      <c r="L42" s="3">
        <v>6</v>
      </c>
      <c r="M42" s="3" t="s">
        <v>36</v>
      </c>
      <c r="N42" s="3" t="s">
        <v>56</v>
      </c>
      <c r="O42" s="4">
        <v>45770</v>
      </c>
      <c r="P42" s="4">
        <v>45770</v>
      </c>
      <c r="Q42" s="3" t="s">
        <v>28</v>
      </c>
      <c r="R42" s="3" t="s">
        <v>24</v>
      </c>
      <c r="S42" s="4">
        <v>45776</v>
      </c>
    </row>
    <row r="43" spans="1:19" x14ac:dyDescent="0.2">
      <c r="A43" s="3">
        <v>7397</v>
      </c>
      <c r="B43" s="3" t="s">
        <v>80</v>
      </c>
      <c r="C43" s="3" t="s">
        <v>149</v>
      </c>
      <c r="D43" s="3" t="s">
        <v>82</v>
      </c>
      <c r="E43" s="3" t="s">
        <v>61</v>
      </c>
      <c r="F43" s="3" t="s">
        <v>44</v>
      </c>
      <c r="G43" s="3" t="s">
        <v>24</v>
      </c>
      <c r="H43" s="3" t="s">
        <v>25</v>
      </c>
      <c r="I43" s="3">
        <v>9</v>
      </c>
      <c r="J43" s="3">
        <v>0</v>
      </c>
      <c r="K43" s="3">
        <v>0</v>
      </c>
      <c r="L43" s="3">
        <v>133</v>
      </c>
      <c r="M43" s="3" t="s">
        <v>36</v>
      </c>
      <c r="N43" s="3" t="s">
        <v>150</v>
      </c>
      <c r="O43" s="4">
        <v>45770</v>
      </c>
      <c r="P43" s="4">
        <v>45772</v>
      </c>
      <c r="Q43" s="3" t="s">
        <v>28</v>
      </c>
      <c r="R43" s="3" t="s">
        <v>24</v>
      </c>
      <c r="S43" s="4">
        <v>45905</v>
      </c>
    </row>
    <row r="44" spans="1:19" x14ac:dyDescent="0.2">
      <c r="A44" s="3">
        <v>7399</v>
      </c>
      <c r="B44" s="3" t="s">
        <v>151</v>
      </c>
      <c r="C44" s="3" t="s">
        <v>152</v>
      </c>
      <c r="D44" s="3" t="s">
        <v>98</v>
      </c>
      <c r="E44" s="3" t="s">
        <v>22</v>
      </c>
      <c r="F44" s="3" t="s">
        <v>23</v>
      </c>
      <c r="G44" s="3" t="s">
        <v>24</v>
      </c>
      <c r="H44" s="3" t="s">
        <v>66</v>
      </c>
      <c r="I44" s="3">
        <v>1</v>
      </c>
      <c r="J44" s="3">
        <v>1</v>
      </c>
      <c r="K44" s="3">
        <v>1</v>
      </c>
      <c r="L44" s="3">
        <v>8</v>
      </c>
      <c r="M44" s="3" t="s">
        <v>100</v>
      </c>
      <c r="N44" s="3" t="s">
        <v>147</v>
      </c>
      <c r="O44" s="4">
        <v>45771</v>
      </c>
      <c r="P44" s="4">
        <v>45771</v>
      </c>
      <c r="Q44" s="3" t="s">
        <v>28</v>
      </c>
      <c r="R44" s="3" t="s">
        <v>24</v>
      </c>
      <c r="S44" s="4">
        <v>45779</v>
      </c>
    </row>
    <row r="45" spans="1:19" x14ac:dyDescent="0.2">
      <c r="A45" s="3">
        <v>7400</v>
      </c>
      <c r="B45" s="3" t="s">
        <v>80</v>
      </c>
      <c r="C45" s="3" t="s">
        <v>128</v>
      </c>
      <c r="D45" s="3" t="s">
        <v>21</v>
      </c>
      <c r="E45" s="3" t="s">
        <v>61</v>
      </c>
      <c r="F45" s="3"/>
      <c r="G45" s="3" t="s">
        <v>24</v>
      </c>
      <c r="H45" s="3" t="s">
        <v>25</v>
      </c>
      <c r="I45" s="3">
        <v>8</v>
      </c>
      <c r="J45" s="3">
        <v>0</v>
      </c>
      <c r="K45" s="3">
        <v>0</v>
      </c>
      <c r="L45" s="3">
        <v>91</v>
      </c>
      <c r="M45" s="3" t="s">
        <v>78</v>
      </c>
      <c r="N45" s="3" t="s">
        <v>129</v>
      </c>
      <c r="O45" s="4">
        <v>45771</v>
      </c>
      <c r="P45" s="4">
        <v>45775</v>
      </c>
      <c r="Q45" s="3" t="s">
        <v>28</v>
      </c>
      <c r="R45" s="3" t="s">
        <v>24</v>
      </c>
      <c r="S45" s="4">
        <v>45866</v>
      </c>
    </row>
    <row r="46" spans="1:19" x14ac:dyDescent="0.2">
      <c r="A46" s="3">
        <v>7401</v>
      </c>
      <c r="B46" s="3" t="s">
        <v>153</v>
      </c>
      <c r="C46" s="3" t="s">
        <v>154</v>
      </c>
      <c r="D46" s="3" t="s">
        <v>21</v>
      </c>
      <c r="E46" s="3" t="s">
        <v>22</v>
      </c>
      <c r="F46" s="3" t="s">
        <v>44</v>
      </c>
      <c r="G46" s="3" t="s">
        <v>24</v>
      </c>
      <c r="H46" s="3" t="s">
        <v>25</v>
      </c>
      <c r="I46" s="3">
        <v>2</v>
      </c>
      <c r="J46" s="3">
        <v>1</v>
      </c>
      <c r="K46" s="3">
        <v>1</v>
      </c>
      <c r="L46" s="3">
        <v>16</v>
      </c>
      <c r="M46" s="3" t="s">
        <v>36</v>
      </c>
      <c r="N46" s="3" t="s">
        <v>119</v>
      </c>
      <c r="O46" s="4">
        <v>45771</v>
      </c>
      <c r="P46" s="4">
        <v>45777</v>
      </c>
      <c r="Q46" s="3" t="s">
        <v>28</v>
      </c>
      <c r="R46" s="3" t="s">
        <v>47</v>
      </c>
      <c r="S46" s="4">
        <v>45793</v>
      </c>
    </row>
    <row r="47" spans="1:19" x14ac:dyDescent="0.2">
      <c r="A47" s="3">
        <v>7402</v>
      </c>
      <c r="B47" s="3" t="s">
        <v>57</v>
      </c>
      <c r="C47" s="3" t="s">
        <v>155</v>
      </c>
      <c r="D47" s="3" t="s">
        <v>21</v>
      </c>
      <c r="E47" s="3" t="s">
        <v>22</v>
      </c>
      <c r="F47" s="3"/>
      <c r="G47" s="3" t="s">
        <v>24</v>
      </c>
      <c r="H47" s="3" t="s">
        <v>59</v>
      </c>
      <c r="I47" s="3">
        <v>1</v>
      </c>
      <c r="J47" s="3">
        <v>1</v>
      </c>
      <c r="K47" s="3">
        <v>1</v>
      </c>
      <c r="L47" s="3">
        <v>3</v>
      </c>
      <c r="M47" s="3" t="s">
        <v>36</v>
      </c>
      <c r="N47" s="3" t="s">
        <v>156</v>
      </c>
      <c r="O47" s="4">
        <v>45772</v>
      </c>
      <c r="P47" s="4">
        <v>45775</v>
      </c>
      <c r="Q47" s="3" t="s">
        <v>28</v>
      </c>
      <c r="R47" s="3" t="s">
        <v>24</v>
      </c>
      <c r="S47" s="4">
        <v>45778</v>
      </c>
    </row>
    <row r="48" spans="1:19" x14ac:dyDescent="0.2">
      <c r="A48" s="3">
        <v>7404</v>
      </c>
      <c r="B48" s="3" t="s">
        <v>57</v>
      </c>
      <c r="C48" s="3" t="s">
        <v>157</v>
      </c>
      <c r="D48" s="3" t="s">
        <v>21</v>
      </c>
      <c r="E48" s="3" t="s">
        <v>22</v>
      </c>
      <c r="F48" s="3"/>
      <c r="G48" s="3" t="s">
        <v>24</v>
      </c>
      <c r="H48" s="3" t="s">
        <v>59</v>
      </c>
      <c r="I48" s="3">
        <v>1</v>
      </c>
      <c r="J48" s="3">
        <v>1</v>
      </c>
      <c r="K48" s="3">
        <v>1</v>
      </c>
      <c r="L48" s="3">
        <v>0</v>
      </c>
      <c r="M48" s="3" t="s">
        <v>36</v>
      </c>
      <c r="N48" s="3" t="s">
        <v>158</v>
      </c>
      <c r="O48" s="4">
        <v>45776</v>
      </c>
      <c r="P48" s="4">
        <v>45777</v>
      </c>
      <c r="Q48" s="3" t="s">
        <v>28</v>
      </c>
      <c r="R48" s="3" t="s">
        <v>24</v>
      </c>
      <c r="S48" s="4">
        <v>45777</v>
      </c>
    </row>
    <row r="49" spans="1:19" x14ac:dyDescent="0.2">
      <c r="A49" s="3">
        <v>7405</v>
      </c>
      <c r="B49" s="3" t="s">
        <v>57</v>
      </c>
      <c r="C49" s="3" t="s">
        <v>157</v>
      </c>
      <c r="D49" s="3" t="s">
        <v>21</v>
      </c>
      <c r="E49" s="3" t="s">
        <v>22</v>
      </c>
      <c r="F49" s="3"/>
      <c r="G49" s="3" t="s">
        <v>24</v>
      </c>
      <c r="H49" s="3" t="s">
        <v>59</v>
      </c>
      <c r="I49" s="3">
        <v>6</v>
      </c>
      <c r="J49" s="3">
        <v>1</v>
      </c>
      <c r="K49" s="3">
        <v>1</v>
      </c>
      <c r="L49" s="3">
        <v>2</v>
      </c>
      <c r="M49" s="3" t="s">
        <v>36</v>
      </c>
      <c r="N49" s="3" t="s">
        <v>158</v>
      </c>
      <c r="O49" s="4">
        <v>45776</v>
      </c>
      <c r="P49" s="4">
        <v>45789</v>
      </c>
      <c r="Q49" s="3" t="s">
        <v>28</v>
      </c>
      <c r="R49" s="3" t="s">
        <v>24</v>
      </c>
      <c r="S49" s="4">
        <v>45791</v>
      </c>
    </row>
    <row r="50" spans="1:19" x14ac:dyDescent="0.2">
      <c r="A50" s="3">
        <v>7406</v>
      </c>
      <c r="B50" s="3" t="s">
        <v>57</v>
      </c>
      <c r="C50" s="3" t="s">
        <v>157</v>
      </c>
      <c r="D50" s="3" t="s">
        <v>21</v>
      </c>
      <c r="E50" s="3" t="s">
        <v>22</v>
      </c>
      <c r="F50" s="3"/>
      <c r="G50" s="3" t="s">
        <v>24</v>
      </c>
      <c r="H50" s="3" t="s">
        <v>59</v>
      </c>
      <c r="I50" s="3">
        <v>1</v>
      </c>
      <c r="J50" s="3">
        <v>1</v>
      </c>
      <c r="K50" s="3">
        <v>1</v>
      </c>
      <c r="L50" s="3">
        <v>2</v>
      </c>
      <c r="M50" s="3" t="s">
        <v>36</v>
      </c>
      <c r="N50" s="3" t="s">
        <v>158</v>
      </c>
      <c r="O50" s="4">
        <v>45776</v>
      </c>
      <c r="P50" s="4">
        <v>45789</v>
      </c>
      <c r="Q50" s="3" t="s">
        <v>28</v>
      </c>
      <c r="R50" s="3" t="s">
        <v>24</v>
      </c>
      <c r="S50" s="4">
        <v>45791</v>
      </c>
    </row>
    <row r="51" spans="1:19" x14ac:dyDescent="0.2">
      <c r="A51" s="3">
        <v>7407</v>
      </c>
      <c r="B51" s="3" t="s">
        <v>57</v>
      </c>
      <c r="C51" s="3" t="s">
        <v>157</v>
      </c>
      <c r="D51" s="3" t="s">
        <v>21</v>
      </c>
      <c r="E51" s="3" t="s">
        <v>22</v>
      </c>
      <c r="F51" s="3"/>
      <c r="G51" s="3" t="s">
        <v>24</v>
      </c>
      <c r="H51" s="3" t="s">
        <v>59</v>
      </c>
      <c r="I51" s="3">
        <v>1</v>
      </c>
      <c r="J51" s="3">
        <v>1</v>
      </c>
      <c r="K51" s="3">
        <v>1</v>
      </c>
      <c r="L51" s="3">
        <v>3</v>
      </c>
      <c r="M51" s="3" t="s">
        <v>36</v>
      </c>
      <c r="N51" s="3" t="s">
        <v>158</v>
      </c>
      <c r="O51" s="4">
        <v>45776</v>
      </c>
      <c r="P51" s="4">
        <v>45790</v>
      </c>
      <c r="Q51" s="3" t="s">
        <v>28</v>
      </c>
      <c r="R51" s="3" t="s">
        <v>24</v>
      </c>
      <c r="S51" s="4">
        <v>45793</v>
      </c>
    </row>
    <row r="52" spans="1:19" x14ac:dyDescent="0.2">
      <c r="A52" s="3">
        <v>7408</v>
      </c>
      <c r="B52" s="3" t="s">
        <v>57</v>
      </c>
      <c r="C52" s="3" t="s">
        <v>157</v>
      </c>
      <c r="D52" s="3" t="s">
        <v>21</v>
      </c>
      <c r="E52" s="3" t="s">
        <v>22</v>
      </c>
      <c r="F52" s="3"/>
      <c r="G52" s="3" t="s">
        <v>24</v>
      </c>
      <c r="H52" s="3" t="s">
        <v>59</v>
      </c>
      <c r="I52" s="3">
        <v>1</v>
      </c>
      <c r="J52" s="3">
        <v>1</v>
      </c>
      <c r="K52" s="3">
        <v>1</v>
      </c>
      <c r="L52" s="3">
        <v>2</v>
      </c>
      <c r="M52" s="3" t="s">
        <v>36</v>
      </c>
      <c r="N52" s="3" t="s">
        <v>158</v>
      </c>
      <c r="O52" s="4">
        <v>45776</v>
      </c>
      <c r="P52" s="4">
        <v>45790</v>
      </c>
      <c r="Q52" s="3" t="s">
        <v>28</v>
      </c>
      <c r="R52" s="3" t="s">
        <v>24</v>
      </c>
      <c r="S52" s="4">
        <v>45792</v>
      </c>
    </row>
    <row r="53" spans="1:19" x14ac:dyDescent="0.2">
      <c r="A53" s="3">
        <v>7409</v>
      </c>
      <c r="B53" s="3" t="s">
        <v>57</v>
      </c>
      <c r="C53" s="3" t="s">
        <v>157</v>
      </c>
      <c r="D53" s="3" t="s">
        <v>21</v>
      </c>
      <c r="E53" s="3" t="s">
        <v>22</v>
      </c>
      <c r="F53" s="3"/>
      <c r="G53" s="3" t="s">
        <v>24</v>
      </c>
      <c r="H53" s="3" t="s">
        <v>59</v>
      </c>
      <c r="I53" s="3">
        <v>1</v>
      </c>
      <c r="J53" s="3">
        <v>1</v>
      </c>
      <c r="K53" s="3">
        <v>1</v>
      </c>
      <c r="L53" s="3">
        <v>6</v>
      </c>
      <c r="M53" s="3" t="s">
        <v>36</v>
      </c>
      <c r="N53" s="3" t="s">
        <v>158</v>
      </c>
      <c r="O53" s="4">
        <v>45776</v>
      </c>
      <c r="P53" s="4">
        <v>45784</v>
      </c>
      <c r="Q53" s="3" t="s">
        <v>28</v>
      </c>
      <c r="R53" s="3" t="s">
        <v>24</v>
      </c>
      <c r="S53" s="4">
        <v>45790</v>
      </c>
    </row>
    <row r="54" spans="1:19" x14ac:dyDescent="0.2">
      <c r="A54" s="3">
        <v>7410</v>
      </c>
      <c r="B54" s="3" t="s">
        <v>57</v>
      </c>
      <c r="C54" s="3" t="s">
        <v>157</v>
      </c>
      <c r="D54" s="3" t="s">
        <v>35</v>
      </c>
      <c r="E54" s="3" t="s">
        <v>22</v>
      </c>
      <c r="F54" s="3"/>
      <c r="G54" s="3" t="s">
        <v>24</v>
      </c>
      <c r="H54" s="3" t="s">
        <v>59</v>
      </c>
      <c r="I54" s="3">
        <v>1</v>
      </c>
      <c r="J54" s="3">
        <v>1</v>
      </c>
      <c r="K54" s="3">
        <v>1</v>
      </c>
      <c r="L54" s="3">
        <v>6</v>
      </c>
      <c r="M54" s="3" t="s">
        <v>36</v>
      </c>
      <c r="N54" s="3" t="s">
        <v>72</v>
      </c>
      <c r="O54" s="4">
        <v>45776</v>
      </c>
      <c r="P54" s="4">
        <v>45777</v>
      </c>
      <c r="Q54" s="3" t="s">
        <v>41</v>
      </c>
      <c r="R54" s="3" t="s">
        <v>24</v>
      </c>
      <c r="S54" s="4">
        <v>45783</v>
      </c>
    </row>
    <row r="55" spans="1:19" x14ac:dyDescent="0.2">
      <c r="A55" s="3">
        <v>7411</v>
      </c>
      <c r="B55" s="3" t="s">
        <v>57</v>
      </c>
      <c r="C55" s="3" t="s">
        <v>157</v>
      </c>
      <c r="D55" s="3" t="s">
        <v>35</v>
      </c>
      <c r="E55" s="3" t="s">
        <v>22</v>
      </c>
      <c r="F55" s="3"/>
      <c r="G55" s="3" t="s">
        <v>24</v>
      </c>
      <c r="H55" s="3" t="s">
        <v>59</v>
      </c>
      <c r="I55" s="3">
        <v>3</v>
      </c>
      <c r="J55" s="3">
        <v>1</v>
      </c>
      <c r="K55" s="3">
        <v>1</v>
      </c>
      <c r="L55" s="3">
        <v>5</v>
      </c>
      <c r="M55" s="3" t="s">
        <v>36</v>
      </c>
      <c r="N55" s="3" t="s">
        <v>72</v>
      </c>
      <c r="O55" s="4">
        <v>45776</v>
      </c>
      <c r="P55" s="4">
        <v>45792</v>
      </c>
      <c r="Q55" s="3" t="s">
        <v>41</v>
      </c>
      <c r="R55" s="3" t="s">
        <v>24</v>
      </c>
      <c r="S55" s="4">
        <v>45797</v>
      </c>
    </row>
    <row r="56" spans="1:19" x14ac:dyDescent="0.2">
      <c r="A56" s="3">
        <v>7412</v>
      </c>
      <c r="B56" s="3" t="s">
        <v>57</v>
      </c>
      <c r="C56" s="3" t="s">
        <v>159</v>
      </c>
      <c r="D56" s="3" t="s">
        <v>160</v>
      </c>
      <c r="E56" s="3" t="s">
        <v>161</v>
      </c>
      <c r="F56" s="3" t="s">
        <v>107</v>
      </c>
      <c r="G56" s="3" t="s">
        <v>24</v>
      </c>
      <c r="H56" s="3" t="s">
        <v>59</v>
      </c>
      <c r="I56" s="3">
        <v>3</v>
      </c>
      <c r="J56" s="3">
        <v>0</v>
      </c>
      <c r="K56" s="3">
        <v>0</v>
      </c>
      <c r="L56" s="3">
        <v>44</v>
      </c>
      <c r="M56" s="3" t="s">
        <v>162</v>
      </c>
      <c r="N56" s="3" t="s">
        <v>163</v>
      </c>
      <c r="O56" s="4">
        <v>45776</v>
      </c>
      <c r="P56" s="4">
        <v>45789</v>
      </c>
      <c r="Q56" s="3" t="s">
        <v>28</v>
      </c>
      <c r="R56" s="3" t="s">
        <v>24</v>
      </c>
      <c r="S56" s="4">
        <v>45833</v>
      </c>
    </row>
    <row r="58" spans="1:19" x14ac:dyDescent="0.2">
      <c r="I58">
        <f>SUM(I2:I56)</f>
        <v>165</v>
      </c>
      <c r="J58">
        <f>SUM(J2:J56)</f>
        <v>40</v>
      </c>
    </row>
    <row r="60" spans="1:19" x14ac:dyDescent="0.2">
      <c r="J60" s="5">
        <f>J58/I58</f>
        <v>0.24242424242424243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AEEEE-D8FF-534E-877B-CE25C17C8535}">
  <dimension ref="A1:S50"/>
  <sheetViews>
    <sheetView topLeftCell="A28" workbookViewId="0">
      <selection activeCell="I55" sqref="I55"/>
    </sheetView>
  </sheetViews>
  <sheetFormatPr baseColWidth="10" defaultRowHeight="15" x14ac:dyDescent="0.2"/>
  <sheetData>
    <row r="1" spans="1:1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s="3">
        <v>7413</v>
      </c>
      <c r="B2" s="3" t="s">
        <v>19</v>
      </c>
      <c r="C2" s="3" t="s">
        <v>164</v>
      </c>
      <c r="D2" s="3" t="s">
        <v>165</v>
      </c>
      <c r="E2" s="3" t="s">
        <v>161</v>
      </c>
      <c r="F2" s="3" t="s">
        <v>23</v>
      </c>
      <c r="G2" s="3" t="s">
        <v>24</v>
      </c>
      <c r="H2" s="3" t="s">
        <v>25</v>
      </c>
      <c r="I2" s="3">
        <v>8</v>
      </c>
      <c r="J2" s="3">
        <v>0</v>
      </c>
      <c r="K2" s="3">
        <v>0</v>
      </c>
      <c r="L2" s="3">
        <v>83</v>
      </c>
      <c r="M2" s="3" t="s">
        <v>38</v>
      </c>
      <c r="N2" s="3" t="s">
        <v>133</v>
      </c>
      <c r="O2" s="4">
        <v>45778</v>
      </c>
      <c r="P2" s="4">
        <v>45779</v>
      </c>
      <c r="Q2" s="3" t="s">
        <v>28</v>
      </c>
      <c r="R2" s="3" t="s">
        <v>24</v>
      </c>
      <c r="S2" s="4">
        <v>45862</v>
      </c>
    </row>
    <row r="3" spans="1:19" x14ac:dyDescent="0.2">
      <c r="A3" s="3">
        <v>7414</v>
      </c>
      <c r="B3" s="3" t="s">
        <v>63</v>
      </c>
      <c r="C3" s="3" t="s">
        <v>166</v>
      </c>
      <c r="D3" s="3" t="s">
        <v>123</v>
      </c>
      <c r="E3" s="3" t="s">
        <v>161</v>
      </c>
      <c r="F3" s="3" t="s">
        <v>44</v>
      </c>
      <c r="G3" s="3" t="s">
        <v>24</v>
      </c>
      <c r="H3" s="3" t="s">
        <v>66</v>
      </c>
      <c r="I3" s="3">
        <v>5</v>
      </c>
      <c r="J3" s="3">
        <v>0</v>
      </c>
      <c r="K3" s="3">
        <v>0</v>
      </c>
      <c r="L3" s="3">
        <v>44</v>
      </c>
      <c r="M3" s="3" t="s">
        <v>36</v>
      </c>
      <c r="N3" s="3" t="s">
        <v>86</v>
      </c>
      <c r="O3" s="4">
        <v>45779</v>
      </c>
      <c r="P3" s="4">
        <v>45789</v>
      </c>
      <c r="Q3" s="3" t="s">
        <v>28</v>
      </c>
      <c r="R3" s="3" t="s">
        <v>24</v>
      </c>
      <c r="S3" s="4">
        <v>45833</v>
      </c>
    </row>
    <row r="4" spans="1:19" x14ac:dyDescent="0.2">
      <c r="A4" s="3">
        <v>7415</v>
      </c>
      <c r="B4" s="3" t="s">
        <v>63</v>
      </c>
      <c r="C4" s="3" t="s">
        <v>166</v>
      </c>
      <c r="D4" s="3" t="s">
        <v>123</v>
      </c>
      <c r="E4" s="3" t="s">
        <v>161</v>
      </c>
      <c r="F4" s="3" t="s">
        <v>44</v>
      </c>
      <c r="G4" s="3" t="s">
        <v>24</v>
      </c>
      <c r="H4" s="3" t="s">
        <v>66</v>
      </c>
      <c r="I4" s="3">
        <v>5</v>
      </c>
      <c r="J4" s="3">
        <v>0</v>
      </c>
      <c r="K4" s="3">
        <v>0</v>
      </c>
      <c r="L4" s="3">
        <v>44</v>
      </c>
      <c r="M4" s="3" t="s">
        <v>36</v>
      </c>
      <c r="N4" s="3" t="s">
        <v>86</v>
      </c>
      <c r="O4" s="4">
        <v>45779</v>
      </c>
      <c r="P4" s="4">
        <v>45789</v>
      </c>
      <c r="Q4" s="3" t="s">
        <v>28</v>
      </c>
      <c r="R4" s="3" t="s">
        <v>24</v>
      </c>
      <c r="S4" s="4">
        <v>45833</v>
      </c>
    </row>
    <row r="5" spans="1:19" x14ac:dyDescent="0.2">
      <c r="A5" s="3">
        <v>7416</v>
      </c>
      <c r="B5" s="3" t="s">
        <v>167</v>
      </c>
      <c r="C5" s="3" t="s">
        <v>168</v>
      </c>
      <c r="D5" s="3" t="s">
        <v>89</v>
      </c>
      <c r="E5" s="3" t="s">
        <v>22</v>
      </c>
      <c r="F5" s="3" t="s">
        <v>44</v>
      </c>
      <c r="G5" s="3" t="s">
        <v>24</v>
      </c>
      <c r="H5" s="3" t="s">
        <v>132</v>
      </c>
      <c r="I5" s="3">
        <v>3</v>
      </c>
      <c r="J5" s="3">
        <v>1</v>
      </c>
      <c r="K5" s="3">
        <v>1</v>
      </c>
      <c r="L5" s="3">
        <v>27</v>
      </c>
      <c r="M5" s="3" t="s">
        <v>60</v>
      </c>
      <c r="N5" s="3" t="s">
        <v>169</v>
      </c>
      <c r="O5" s="4">
        <v>45779</v>
      </c>
      <c r="P5" s="4">
        <v>45791</v>
      </c>
      <c r="Q5" s="3" t="s">
        <v>34</v>
      </c>
      <c r="R5" s="3" t="s">
        <v>24</v>
      </c>
      <c r="S5" s="4">
        <v>45818</v>
      </c>
    </row>
    <row r="6" spans="1:19" x14ac:dyDescent="0.2">
      <c r="A6" s="3">
        <v>7418</v>
      </c>
      <c r="B6" s="3" t="s">
        <v>80</v>
      </c>
      <c r="C6" s="3" t="s">
        <v>170</v>
      </c>
      <c r="D6" s="3" t="s">
        <v>145</v>
      </c>
      <c r="E6" s="3" t="s">
        <v>171</v>
      </c>
      <c r="F6" s="3" t="s">
        <v>44</v>
      </c>
      <c r="G6" s="3" t="s">
        <v>24</v>
      </c>
      <c r="H6" s="3" t="s">
        <v>25</v>
      </c>
      <c r="I6" s="3">
        <v>19</v>
      </c>
      <c r="J6" s="3">
        <v>0</v>
      </c>
      <c r="K6" s="3">
        <v>0</v>
      </c>
      <c r="L6" s="3">
        <v>105</v>
      </c>
      <c r="M6" s="3" t="s">
        <v>60</v>
      </c>
      <c r="N6" s="3" t="s">
        <v>172</v>
      </c>
      <c r="O6" s="4">
        <v>45783</v>
      </c>
      <c r="P6" s="4">
        <v>45790</v>
      </c>
      <c r="Q6" s="3" t="s">
        <v>28</v>
      </c>
      <c r="R6" s="3" t="s">
        <v>24</v>
      </c>
      <c r="S6" s="4">
        <v>45895</v>
      </c>
    </row>
    <row r="7" spans="1:19" x14ac:dyDescent="0.2">
      <c r="A7" s="3">
        <v>7419</v>
      </c>
      <c r="B7" s="3" t="s">
        <v>57</v>
      </c>
      <c r="C7" s="3" t="s">
        <v>173</v>
      </c>
      <c r="D7" s="3" t="s">
        <v>21</v>
      </c>
      <c r="E7" s="3" t="s">
        <v>22</v>
      </c>
      <c r="F7" s="3" t="s">
        <v>23</v>
      </c>
      <c r="G7" s="3" t="s">
        <v>24</v>
      </c>
      <c r="H7" s="3" t="s">
        <v>59</v>
      </c>
      <c r="I7" s="3">
        <v>2</v>
      </c>
      <c r="J7" s="3">
        <v>1</v>
      </c>
      <c r="K7" s="3">
        <v>1</v>
      </c>
      <c r="L7" s="3">
        <v>1</v>
      </c>
      <c r="M7" s="3" t="s">
        <v>36</v>
      </c>
      <c r="N7" s="3" t="s">
        <v>156</v>
      </c>
      <c r="O7" s="4">
        <v>45783</v>
      </c>
      <c r="P7" s="4">
        <v>45784</v>
      </c>
      <c r="Q7" s="3" t="s">
        <v>28</v>
      </c>
      <c r="R7" s="3" t="s">
        <v>24</v>
      </c>
      <c r="S7" s="4">
        <v>45785</v>
      </c>
    </row>
    <row r="8" spans="1:19" x14ac:dyDescent="0.2">
      <c r="A8" s="3">
        <v>7420</v>
      </c>
      <c r="B8" s="3" t="s">
        <v>57</v>
      </c>
      <c r="C8" s="3" t="s">
        <v>173</v>
      </c>
      <c r="D8" s="3" t="s">
        <v>35</v>
      </c>
      <c r="E8" s="3" t="s">
        <v>22</v>
      </c>
      <c r="F8" s="3" t="s">
        <v>44</v>
      </c>
      <c r="G8" s="3" t="s">
        <v>24</v>
      </c>
      <c r="H8" s="3" t="s">
        <v>59</v>
      </c>
      <c r="I8" s="3">
        <v>3</v>
      </c>
      <c r="J8" s="3">
        <v>1</v>
      </c>
      <c r="K8" s="3">
        <v>1</v>
      </c>
      <c r="L8" s="3">
        <v>2</v>
      </c>
      <c r="M8" s="3" t="s">
        <v>36</v>
      </c>
      <c r="N8" s="3" t="s">
        <v>174</v>
      </c>
      <c r="O8" s="4">
        <v>45783</v>
      </c>
      <c r="P8" s="4">
        <v>45796</v>
      </c>
      <c r="Q8" s="3" t="s">
        <v>28</v>
      </c>
      <c r="R8" s="3" t="s">
        <v>24</v>
      </c>
      <c r="S8" s="4">
        <v>45798</v>
      </c>
    </row>
    <row r="9" spans="1:19" x14ac:dyDescent="0.2">
      <c r="A9" s="3">
        <v>7423</v>
      </c>
      <c r="B9" s="3" t="s">
        <v>175</v>
      </c>
      <c r="C9" s="3" t="s">
        <v>176</v>
      </c>
      <c r="D9" s="3" t="s">
        <v>106</v>
      </c>
      <c r="E9" s="3" t="s">
        <v>22</v>
      </c>
      <c r="F9" s="3" t="s">
        <v>177</v>
      </c>
      <c r="G9" s="3" t="s">
        <v>24</v>
      </c>
      <c r="H9" s="3" t="s">
        <v>178</v>
      </c>
      <c r="I9" s="3">
        <v>1</v>
      </c>
      <c r="J9" s="3">
        <v>1</v>
      </c>
      <c r="K9" s="3">
        <v>1</v>
      </c>
      <c r="L9" s="3">
        <v>0</v>
      </c>
      <c r="M9" s="3" t="s">
        <v>26</v>
      </c>
      <c r="N9" s="3" t="s">
        <v>179</v>
      </c>
      <c r="O9" s="4">
        <v>45784</v>
      </c>
      <c r="P9" s="4">
        <v>45784</v>
      </c>
      <c r="Q9" s="3" t="s">
        <v>34</v>
      </c>
      <c r="R9" s="3" t="s">
        <v>24</v>
      </c>
      <c r="S9" s="4">
        <v>45784</v>
      </c>
    </row>
    <row r="10" spans="1:19" x14ac:dyDescent="0.2">
      <c r="A10" s="3">
        <v>7424</v>
      </c>
      <c r="B10" s="3" t="s">
        <v>175</v>
      </c>
      <c r="C10" s="3" t="s">
        <v>176</v>
      </c>
      <c r="D10" s="3" t="s">
        <v>180</v>
      </c>
      <c r="E10" s="3" t="s">
        <v>22</v>
      </c>
      <c r="F10" s="3" t="s">
        <v>177</v>
      </c>
      <c r="G10" s="3" t="s">
        <v>24</v>
      </c>
      <c r="H10" s="3" t="s">
        <v>178</v>
      </c>
      <c r="I10" s="3">
        <v>1</v>
      </c>
      <c r="J10" s="3">
        <v>1</v>
      </c>
      <c r="K10" s="3">
        <v>1</v>
      </c>
      <c r="L10" s="3">
        <v>0</v>
      </c>
      <c r="M10" s="3" t="s">
        <v>108</v>
      </c>
      <c r="N10" s="3" t="s">
        <v>181</v>
      </c>
      <c r="O10" s="4">
        <v>45784</v>
      </c>
      <c r="P10" s="4">
        <v>45784</v>
      </c>
      <c r="Q10" s="3" t="s">
        <v>34</v>
      </c>
      <c r="R10" s="3" t="s">
        <v>24</v>
      </c>
      <c r="S10" s="4">
        <v>45784</v>
      </c>
    </row>
    <row r="11" spans="1:19" x14ac:dyDescent="0.2">
      <c r="A11" s="3">
        <v>7425</v>
      </c>
      <c r="B11" s="3" t="s">
        <v>175</v>
      </c>
      <c r="C11" s="3" t="s">
        <v>176</v>
      </c>
      <c r="D11" s="3" t="s">
        <v>182</v>
      </c>
      <c r="E11" s="3" t="s">
        <v>22</v>
      </c>
      <c r="F11" s="3" t="s">
        <v>107</v>
      </c>
      <c r="G11" s="3" t="s">
        <v>24</v>
      </c>
      <c r="H11" s="3" t="s">
        <v>178</v>
      </c>
      <c r="I11" s="3">
        <v>1</v>
      </c>
      <c r="J11" s="3">
        <v>1</v>
      </c>
      <c r="K11" s="3">
        <v>1</v>
      </c>
      <c r="L11" s="3">
        <v>0</v>
      </c>
      <c r="M11" s="3" t="s">
        <v>36</v>
      </c>
      <c r="N11" s="3" t="s">
        <v>179</v>
      </c>
      <c r="O11" s="4">
        <v>45784</v>
      </c>
      <c r="P11" s="4">
        <v>45784</v>
      </c>
      <c r="Q11" s="3" t="s">
        <v>34</v>
      </c>
      <c r="R11" s="3" t="s">
        <v>24</v>
      </c>
      <c r="S11" s="4">
        <v>45784</v>
      </c>
    </row>
    <row r="12" spans="1:19" x14ac:dyDescent="0.2">
      <c r="A12" s="3">
        <v>7426</v>
      </c>
      <c r="B12" s="3" t="s">
        <v>175</v>
      </c>
      <c r="C12" s="3" t="s">
        <v>176</v>
      </c>
      <c r="D12" s="3" t="s">
        <v>183</v>
      </c>
      <c r="E12" s="3" t="s">
        <v>22</v>
      </c>
      <c r="F12" s="3" t="s">
        <v>107</v>
      </c>
      <c r="G12" s="3" t="s">
        <v>24</v>
      </c>
      <c r="H12" s="3" t="s">
        <v>178</v>
      </c>
      <c r="I12" s="3">
        <v>1</v>
      </c>
      <c r="J12" s="3">
        <v>1</v>
      </c>
      <c r="K12" s="3">
        <v>1</v>
      </c>
      <c r="L12" s="3">
        <v>0</v>
      </c>
      <c r="M12" s="3" t="s">
        <v>36</v>
      </c>
      <c r="N12" s="3" t="s">
        <v>179</v>
      </c>
      <c r="O12" s="4">
        <v>45784</v>
      </c>
      <c r="P12" s="4">
        <v>45784</v>
      </c>
      <c r="Q12" s="3" t="s">
        <v>34</v>
      </c>
      <c r="R12" s="3" t="s">
        <v>24</v>
      </c>
      <c r="S12" s="4">
        <v>45784</v>
      </c>
    </row>
    <row r="13" spans="1:19" x14ac:dyDescent="0.2">
      <c r="A13" s="3">
        <v>7427</v>
      </c>
      <c r="B13" s="3" t="s">
        <v>68</v>
      </c>
      <c r="C13" s="3" t="s">
        <v>69</v>
      </c>
      <c r="D13" s="3" t="s">
        <v>184</v>
      </c>
      <c r="E13" s="3" t="s">
        <v>22</v>
      </c>
      <c r="F13" s="3"/>
      <c r="G13" s="3" t="s">
        <v>24</v>
      </c>
      <c r="H13" s="3" t="s">
        <v>71</v>
      </c>
      <c r="I13" s="3">
        <v>1</v>
      </c>
      <c r="J13" s="3">
        <v>1</v>
      </c>
      <c r="K13" s="3">
        <v>1</v>
      </c>
      <c r="L13" s="3">
        <v>0</v>
      </c>
      <c r="M13" s="3" t="s">
        <v>36</v>
      </c>
      <c r="N13" s="3" t="s">
        <v>185</v>
      </c>
      <c r="O13" s="4">
        <v>45784</v>
      </c>
      <c r="P13" s="4">
        <v>45784</v>
      </c>
      <c r="Q13" s="3" t="s">
        <v>34</v>
      </c>
      <c r="R13" s="3" t="s">
        <v>24</v>
      </c>
      <c r="S13" s="4">
        <v>45784</v>
      </c>
    </row>
    <row r="14" spans="1:19" x14ac:dyDescent="0.2">
      <c r="A14" s="3">
        <v>7429</v>
      </c>
      <c r="B14" s="3" t="s">
        <v>63</v>
      </c>
      <c r="C14" s="3" t="s">
        <v>84</v>
      </c>
      <c r="D14" s="3" t="s">
        <v>123</v>
      </c>
      <c r="E14" s="3" t="s">
        <v>61</v>
      </c>
      <c r="F14" s="3" t="s">
        <v>44</v>
      </c>
      <c r="G14" s="3" t="s">
        <v>24</v>
      </c>
      <c r="H14" s="3" t="s">
        <v>66</v>
      </c>
      <c r="I14" s="3">
        <v>2</v>
      </c>
      <c r="J14" s="3">
        <v>0</v>
      </c>
      <c r="K14" s="3">
        <v>0</v>
      </c>
      <c r="L14" s="3">
        <v>15</v>
      </c>
      <c r="M14" s="3" t="s">
        <v>36</v>
      </c>
      <c r="N14" s="3" t="s">
        <v>86</v>
      </c>
      <c r="O14" s="4">
        <v>45785</v>
      </c>
      <c r="P14" s="4">
        <v>45790</v>
      </c>
      <c r="Q14" s="3" t="s">
        <v>28</v>
      </c>
      <c r="R14" s="3" t="s">
        <v>24</v>
      </c>
      <c r="S14" s="4">
        <v>45805</v>
      </c>
    </row>
    <row r="15" spans="1:19" x14ac:dyDescent="0.2">
      <c r="A15" s="3">
        <v>7430</v>
      </c>
      <c r="B15" s="3" t="s">
        <v>139</v>
      </c>
      <c r="C15" s="3" t="s">
        <v>186</v>
      </c>
      <c r="D15" s="3" t="s">
        <v>89</v>
      </c>
      <c r="E15" s="3" t="s">
        <v>22</v>
      </c>
      <c r="F15" s="3" t="s">
        <v>23</v>
      </c>
      <c r="G15" s="3" t="s">
        <v>24</v>
      </c>
      <c r="H15" s="3" t="s">
        <v>142</v>
      </c>
      <c r="I15" s="3">
        <v>2</v>
      </c>
      <c r="J15" s="3">
        <v>1</v>
      </c>
      <c r="K15" s="3">
        <v>1</v>
      </c>
      <c r="L15" s="3">
        <v>6</v>
      </c>
      <c r="M15" s="3" t="s">
        <v>60</v>
      </c>
      <c r="N15" s="3" t="s">
        <v>187</v>
      </c>
      <c r="O15" s="4">
        <v>45786</v>
      </c>
      <c r="P15" s="4">
        <v>45790</v>
      </c>
      <c r="Q15" s="3" t="s">
        <v>34</v>
      </c>
      <c r="R15" s="3" t="s">
        <v>47</v>
      </c>
      <c r="S15" s="4">
        <v>45796</v>
      </c>
    </row>
    <row r="16" spans="1:19" x14ac:dyDescent="0.2">
      <c r="A16" s="3">
        <v>7432</v>
      </c>
      <c r="B16" s="3" t="s">
        <v>188</v>
      </c>
      <c r="C16" s="3" t="s">
        <v>189</v>
      </c>
      <c r="D16" s="3" t="s">
        <v>89</v>
      </c>
      <c r="E16" s="3" t="s">
        <v>22</v>
      </c>
      <c r="F16" s="3"/>
      <c r="G16" s="3" t="s">
        <v>24</v>
      </c>
      <c r="H16" s="3" t="s">
        <v>190</v>
      </c>
      <c r="I16" s="3">
        <v>4</v>
      </c>
      <c r="J16" s="3">
        <v>1</v>
      </c>
      <c r="K16" s="3">
        <v>1</v>
      </c>
      <c r="L16" s="3">
        <v>16</v>
      </c>
      <c r="M16" s="3" t="s">
        <v>36</v>
      </c>
      <c r="N16" s="3" t="s">
        <v>83</v>
      </c>
      <c r="O16" s="4">
        <v>45786</v>
      </c>
      <c r="P16" s="4">
        <v>45790</v>
      </c>
      <c r="Q16" s="3" t="s">
        <v>41</v>
      </c>
      <c r="R16" s="3" t="s">
        <v>24</v>
      </c>
      <c r="S16" s="4">
        <v>45806</v>
      </c>
    </row>
    <row r="17" spans="1:19" x14ac:dyDescent="0.2">
      <c r="A17" s="3">
        <v>7434</v>
      </c>
      <c r="B17" s="3" t="s">
        <v>57</v>
      </c>
      <c r="C17" s="3" t="s">
        <v>157</v>
      </c>
      <c r="D17" s="3" t="s">
        <v>21</v>
      </c>
      <c r="E17" s="3" t="s">
        <v>22</v>
      </c>
      <c r="F17" s="3"/>
      <c r="G17" s="3" t="s">
        <v>24</v>
      </c>
      <c r="H17" s="3" t="s">
        <v>59</v>
      </c>
      <c r="I17" s="3">
        <v>1</v>
      </c>
      <c r="J17" s="3">
        <v>1</v>
      </c>
      <c r="K17" s="3">
        <v>1</v>
      </c>
      <c r="L17" s="3">
        <v>1</v>
      </c>
      <c r="M17" s="3" t="s">
        <v>36</v>
      </c>
      <c r="N17" s="3" t="s">
        <v>158</v>
      </c>
      <c r="O17" s="4">
        <v>45791</v>
      </c>
      <c r="P17" s="4">
        <v>45791</v>
      </c>
      <c r="Q17" s="3" t="s">
        <v>28</v>
      </c>
      <c r="R17" s="3" t="s">
        <v>24</v>
      </c>
      <c r="S17" s="4">
        <v>45792</v>
      </c>
    </row>
    <row r="18" spans="1:19" x14ac:dyDescent="0.2">
      <c r="A18" s="3">
        <v>7435</v>
      </c>
      <c r="B18" s="3" t="s">
        <v>191</v>
      </c>
      <c r="C18" s="3" t="s">
        <v>192</v>
      </c>
      <c r="D18" s="3" t="s">
        <v>89</v>
      </c>
      <c r="E18" s="3" t="s">
        <v>22</v>
      </c>
      <c r="F18" s="3"/>
      <c r="G18" s="3" t="s">
        <v>24</v>
      </c>
      <c r="H18" s="3" t="s">
        <v>66</v>
      </c>
      <c r="I18" s="3">
        <v>4</v>
      </c>
      <c r="J18" s="3">
        <v>1</v>
      </c>
      <c r="K18" s="3">
        <v>1</v>
      </c>
      <c r="L18" s="3">
        <v>62</v>
      </c>
      <c r="M18" s="3" t="s">
        <v>36</v>
      </c>
      <c r="N18" s="3" t="s">
        <v>193</v>
      </c>
      <c r="O18" s="4">
        <v>45791</v>
      </c>
      <c r="P18" s="4">
        <v>45791</v>
      </c>
      <c r="Q18" s="3" t="s">
        <v>28</v>
      </c>
      <c r="R18" s="3" t="s">
        <v>47</v>
      </c>
      <c r="S18" s="4">
        <v>45853</v>
      </c>
    </row>
    <row r="19" spans="1:19" x14ac:dyDescent="0.2">
      <c r="A19" s="3">
        <v>7436</v>
      </c>
      <c r="B19" s="3" t="s">
        <v>167</v>
      </c>
      <c r="C19" s="3" t="s">
        <v>168</v>
      </c>
      <c r="D19" s="3" t="s">
        <v>106</v>
      </c>
      <c r="E19" s="3" t="s">
        <v>22</v>
      </c>
      <c r="F19" s="3"/>
      <c r="G19" s="3" t="s">
        <v>24</v>
      </c>
      <c r="H19" s="3" t="s">
        <v>132</v>
      </c>
      <c r="I19" s="3">
        <v>1</v>
      </c>
      <c r="J19" s="3">
        <v>1</v>
      </c>
      <c r="K19" s="3">
        <v>1</v>
      </c>
      <c r="L19" s="3">
        <v>6</v>
      </c>
      <c r="M19" s="3" t="s">
        <v>26</v>
      </c>
      <c r="N19" s="3" t="s">
        <v>194</v>
      </c>
      <c r="O19" s="4">
        <v>45791</v>
      </c>
      <c r="P19" s="4">
        <v>45791</v>
      </c>
      <c r="Q19" s="3" t="s">
        <v>34</v>
      </c>
      <c r="R19" s="3" t="s">
        <v>24</v>
      </c>
      <c r="S19" s="4">
        <v>45797</v>
      </c>
    </row>
    <row r="20" spans="1:19" x14ac:dyDescent="0.2">
      <c r="A20" s="3">
        <v>7437</v>
      </c>
      <c r="B20" s="3" t="s">
        <v>19</v>
      </c>
      <c r="C20" s="3" t="s">
        <v>195</v>
      </c>
      <c r="D20" s="3" t="s">
        <v>137</v>
      </c>
      <c r="E20" s="3" t="s">
        <v>61</v>
      </c>
      <c r="F20" s="3" t="s">
        <v>23</v>
      </c>
      <c r="G20" s="3" t="s">
        <v>24</v>
      </c>
      <c r="H20" s="3" t="s">
        <v>25</v>
      </c>
      <c r="I20" s="3">
        <v>3</v>
      </c>
      <c r="J20" s="3">
        <v>0</v>
      </c>
      <c r="K20" s="3">
        <v>0</v>
      </c>
      <c r="L20" s="3">
        <v>42</v>
      </c>
      <c r="M20" s="3" t="s">
        <v>36</v>
      </c>
      <c r="N20" s="3" t="s">
        <v>51</v>
      </c>
      <c r="O20" s="4">
        <v>45792</v>
      </c>
      <c r="P20" s="4">
        <v>45798</v>
      </c>
      <c r="Q20" s="3" t="s">
        <v>28</v>
      </c>
      <c r="R20" s="3" t="s">
        <v>47</v>
      </c>
      <c r="S20" s="4">
        <v>45840</v>
      </c>
    </row>
    <row r="21" spans="1:19" x14ac:dyDescent="0.2">
      <c r="A21" s="3">
        <v>7440</v>
      </c>
      <c r="B21" s="3" t="s">
        <v>196</v>
      </c>
      <c r="C21" s="3" t="s">
        <v>197</v>
      </c>
      <c r="D21" s="3" t="s">
        <v>198</v>
      </c>
      <c r="E21" s="3" t="s">
        <v>22</v>
      </c>
      <c r="F21" s="3" t="s">
        <v>23</v>
      </c>
      <c r="G21" s="3" t="s">
        <v>24</v>
      </c>
      <c r="H21" s="3" t="s">
        <v>199</v>
      </c>
      <c r="I21" s="3">
        <v>3</v>
      </c>
      <c r="J21" s="3">
        <v>1</v>
      </c>
      <c r="K21" s="3">
        <v>1</v>
      </c>
      <c r="L21" s="3">
        <v>6</v>
      </c>
      <c r="M21" s="3" t="s">
        <v>36</v>
      </c>
      <c r="N21" s="3" t="s">
        <v>200</v>
      </c>
      <c r="O21" s="4">
        <v>45794</v>
      </c>
      <c r="P21" s="4">
        <v>45818</v>
      </c>
      <c r="Q21" s="3" t="s">
        <v>28</v>
      </c>
      <c r="R21" s="3" t="s">
        <v>47</v>
      </c>
      <c r="S21" s="4">
        <v>45824</v>
      </c>
    </row>
    <row r="22" spans="1:19" x14ac:dyDescent="0.2">
      <c r="A22" s="3">
        <v>7441</v>
      </c>
      <c r="B22" s="3" t="s">
        <v>19</v>
      </c>
      <c r="C22" s="3" t="s">
        <v>201</v>
      </c>
      <c r="D22" s="3" t="s">
        <v>165</v>
      </c>
      <c r="E22" s="3" t="s">
        <v>61</v>
      </c>
      <c r="F22" s="3" t="s">
        <v>23</v>
      </c>
      <c r="G22" s="3" t="s">
        <v>24</v>
      </c>
      <c r="H22" s="3" t="s">
        <v>25</v>
      </c>
      <c r="I22" s="3">
        <v>2</v>
      </c>
      <c r="J22" s="3">
        <v>0</v>
      </c>
      <c r="K22" s="3">
        <v>0</v>
      </c>
      <c r="L22" s="3">
        <v>24</v>
      </c>
      <c r="M22" s="3" t="s">
        <v>38</v>
      </c>
      <c r="N22" s="3" t="s">
        <v>133</v>
      </c>
      <c r="O22" s="4">
        <v>45796</v>
      </c>
      <c r="P22" s="4">
        <v>45796</v>
      </c>
      <c r="Q22" s="3" t="s">
        <v>34</v>
      </c>
      <c r="R22" s="3" t="s">
        <v>24</v>
      </c>
      <c r="S22" s="4">
        <v>45820</v>
      </c>
    </row>
    <row r="23" spans="1:19" x14ac:dyDescent="0.2">
      <c r="A23" s="3">
        <v>7442</v>
      </c>
      <c r="B23" s="3" t="s">
        <v>57</v>
      </c>
      <c r="C23" s="3" t="s">
        <v>173</v>
      </c>
      <c r="D23" s="3" t="s">
        <v>35</v>
      </c>
      <c r="E23" s="3" t="s">
        <v>22</v>
      </c>
      <c r="F23" s="3" t="s">
        <v>44</v>
      </c>
      <c r="G23" s="3" t="s">
        <v>24</v>
      </c>
      <c r="H23" s="3" t="s">
        <v>59</v>
      </c>
      <c r="I23" s="3">
        <v>1</v>
      </c>
      <c r="J23" s="3">
        <v>1</v>
      </c>
      <c r="K23" s="3">
        <v>1</v>
      </c>
      <c r="L23" s="3">
        <v>0</v>
      </c>
      <c r="M23" s="3" t="s">
        <v>36</v>
      </c>
      <c r="N23" s="3" t="s">
        <v>174</v>
      </c>
      <c r="O23" s="4">
        <v>45796</v>
      </c>
      <c r="P23" s="4">
        <v>45796</v>
      </c>
      <c r="Q23" s="3" t="s">
        <v>28</v>
      </c>
      <c r="R23" s="3" t="s">
        <v>24</v>
      </c>
      <c r="S23" s="4">
        <v>45796</v>
      </c>
    </row>
    <row r="24" spans="1:19" x14ac:dyDescent="0.2">
      <c r="A24" s="3">
        <v>7444</v>
      </c>
      <c r="B24" s="3" t="s">
        <v>87</v>
      </c>
      <c r="C24" s="3" t="s">
        <v>202</v>
      </c>
      <c r="D24" s="3" t="s">
        <v>74</v>
      </c>
      <c r="E24" s="3" t="s">
        <v>22</v>
      </c>
      <c r="F24" s="3" t="s">
        <v>70</v>
      </c>
      <c r="G24" s="3" t="s">
        <v>24</v>
      </c>
      <c r="H24" s="3" t="s">
        <v>90</v>
      </c>
      <c r="I24" s="3">
        <v>4</v>
      </c>
      <c r="J24" s="3">
        <v>1</v>
      </c>
      <c r="K24" s="3">
        <v>1</v>
      </c>
      <c r="L24" s="3">
        <v>2</v>
      </c>
      <c r="M24" s="3" t="s">
        <v>38</v>
      </c>
      <c r="N24" s="3" t="s">
        <v>46</v>
      </c>
      <c r="O24" s="4">
        <v>45796</v>
      </c>
      <c r="P24" s="4">
        <v>45862</v>
      </c>
      <c r="Q24" s="3" t="s">
        <v>28</v>
      </c>
      <c r="R24" s="3" t="s">
        <v>47</v>
      </c>
      <c r="S24" s="4">
        <v>45864</v>
      </c>
    </row>
    <row r="25" spans="1:19" x14ac:dyDescent="0.2">
      <c r="A25" s="3">
        <v>7449</v>
      </c>
      <c r="B25" s="3" t="s">
        <v>57</v>
      </c>
      <c r="C25" s="3" t="s">
        <v>157</v>
      </c>
      <c r="D25" s="3" t="s">
        <v>35</v>
      </c>
      <c r="E25" s="3" t="s">
        <v>22</v>
      </c>
      <c r="F25" s="3"/>
      <c r="G25" s="3" t="s">
        <v>24</v>
      </c>
      <c r="H25" s="3" t="s">
        <v>59</v>
      </c>
      <c r="I25" s="3">
        <v>1</v>
      </c>
      <c r="J25" s="3">
        <v>1</v>
      </c>
      <c r="K25" s="3">
        <v>1</v>
      </c>
      <c r="L25" s="3">
        <v>2</v>
      </c>
      <c r="M25" s="3" t="s">
        <v>36</v>
      </c>
      <c r="N25" s="3" t="s">
        <v>203</v>
      </c>
      <c r="O25" s="4">
        <v>45797</v>
      </c>
      <c r="P25" s="4">
        <v>45797</v>
      </c>
      <c r="Q25" s="3" t="s">
        <v>28</v>
      </c>
      <c r="R25" s="3" t="s">
        <v>24</v>
      </c>
      <c r="S25" s="4">
        <v>45799</v>
      </c>
    </row>
    <row r="26" spans="1:19" x14ac:dyDescent="0.2">
      <c r="A26" s="3">
        <v>7452</v>
      </c>
      <c r="B26" s="3" t="s">
        <v>19</v>
      </c>
      <c r="C26" s="3" t="s">
        <v>201</v>
      </c>
      <c r="D26" s="3" t="s">
        <v>21</v>
      </c>
      <c r="E26" s="3" t="s">
        <v>22</v>
      </c>
      <c r="F26" s="3" t="s">
        <v>23</v>
      </c>
      <c r="G26" s="3" t="s">
        <v>24</v>
      </c>
      <c r="H26" s="3" t="s">
        <v>25</v>
      </c>
      <c r="I26" s="3">
        <v>4</v>
      </c>
      <c r="J26" s="3">
        <v>1</v>
      </c>
      <c r="K26" s="3">
        <v>1</v>
      </c>
      <c r="L26" s="3">
        <v>5</v>
      </c>
      <c r="M26" s="3" t="s">
        <v>36</v>
      </c>
      <c r="N26" s="3" t="s">
        <v>75</v>
      </c>
      <c r="O26" s="4">
        <v>45797</v>
      </c>
      <c r="P26" s="4">
        <v>45904</v>
      </c>
      <c r="Q26" s="3" t="s">
        <v>28</v>
      </c>
      <c r="R26" s="3" t="s">
        <v>24</v>
      </c>
      <c r="S26" s="4">
        <v>45909</v>
      </c>
    </row>
    <row r="27" spans="1:19" x14ac:dyDescent="0.2">
      <c r="A27" s="3">
        <v>7460</v>
      </c>
      <c r="B27" s="3" t="s">
        <v>63</v>
      </c>
      <c r="C27" s="3" t="s">
        <v>204</v>
      </c>
      <c r="D27" s="3" t="s">
        <v>205</v>
      </c>
      <c r="E27" s="3" t="s">
        <v>161</v>
      </c>
      <c r="F27" s="3" t="s">
        <v>44</v>
      </c>
      <c r="G27" s="3" t="s">
        <v>24</v>
      </c>
      <c r="H27" s="3" t="s">
        <v>66</v>
      </c>
      <c r="I27" s="3">
        <v>1</v>
      </c>
      <c r="J27" s="3">
        <v>0</v>
      </c>
      <c r="K27" s="3">
        <v>0</v>
      </c>
      <c r="L27" s="3">
        <v>24</v>
      </c>
      <c r="M27" s="3" t="s">
        <v>36</v>
      </c>
      <c r="N27" s="3" t="s">
        <v>206</v>
      </c>
      <c r="O27" s="4">
        <v>45798</v>
      </c>
      <c r="P27" s="4">
        <v>45804</v>
      </c>
      <c r="Q27" s="3" t="s">
        <v>28</v>
      </c>
      <c r="R27" s="3" t="s">
        <v>24</v>
      </c>
      <c r="S27" s="4">
        <v>45828</v>
      </c>
    </row>
    <row r="28" spans="1:19" x14ac:dyDescent="0.2">
      <c r="A28" s="3">
        <v>7461</v>
      </c>
      <c r="B28" s="3" t="s">
        <v>19</v>
      </c>
      <c r="C28" s="3" t="s">
        <v>201</v>
      </c>
      <c r="D28" s="3" t="s">
        <v>165</v>
      </c>
      <c r="E28" s="3" t="s">
        <v>161</v>
      </c>
      <c r="F28" s="3"/>
      <c r="G28" s="3" t="s">
        <v>24</v>
      </c>
      <c r="H28" s="3" t="s">
        <v>25</v>
      </c>
      <c r="I28" s="3">
        <v>2</v>
      </c>
      <c r="J28" s="3">
        <v>0</v>
      </c>
      <c r="K28" s="3">
        <v>0</v>
      </c>
      <c r="L28" s="3">
        <v>22</v>
      </c>
      <c r="M28" s="3" t="s">
        <v>38</v>
      </c>
      <c r="N28" s="3" t="s">
        <v>207</v>
      </c>
      <c r="O28" s="4">
        <v>45798</v>
      </c>
      <c r="P28" s="4">
        <v>45798</v>
      </c>
      <c r="Q28" s="3" t="s">
        <v>34</v>
      </c>
      <c r="R28" s="3" t="s">
        <v>24</v>
      </c>
      <c r="S28" s="4">
        <v>45820</v>
      </c>
    </row>
    <row r="29" spans="1:19" x14ac:dyDescent="0.2">
      <c r="A29" s="3">
        <v>7462</v>
      </c>
      <c r="B29" s="3" t="s">
        <v>208</v>
      </c>
      <c r="C29" s="3" t="s">
        <v>209</v>
      </c>
      <c r="D29" s="3" t="s">
        <v>210</v>
      </c>
      <c r="E29" s="3" t="s">
        <v>22</v>
      </c>
      <c r="F29" s="3"/>
      <c r="G29" s="3" t="s">
        <v>24</v>
      </c>
      <c r="H29" s="3" t="s">
        <v>211</v>
      </c>
      <c r="I29" s="3">
        <v>5</v>
      </c>
      <c r="J29" s="3">
        <v>1</v>
      </c>
      <c r="K29" s="3">
        <v>1</v>
      </c>
      <c r="L29" s="3">
        <v>7</v>
      </c>
      <c r="M29" s="3" t="s">
        <v>60</v>
      </c>
      <c r="N29" s="3" t="s">
        <v>212</v>
      </c>
      <c r="O29" s="4">
        <v>45798</v>
      </c>
      <c r="P29" s="4">
        <v>45853</v>
      </c>
      <c r="Q29" s="3" t="s">
        <v>28</v>
      </c>
      <c r="R29" s="3" t="s">
        <v>24</v>
      </c>
      <c r="S29" s="4">
        <v>45860</v>
      </c>
    </row>
    <row r="30" spans="1:19" x14ac:dyDescent="0.2">
      <c r="A30" s="3">
        <v>7464</v>
      </c>
      <c r="B30" s="3" t="s">
        <v>63</v>
      </c>
      <c r="C30" s="3" t="s">
        <v>213</v>
      </c>
      <c r="D30" s="3" t="s">
        <v>126</v>
      </c>
      <c r="E30" s="3" t="s">
        <v>22</v>
      </c>
      <c r="F30" s="3" t="s">
        <v>44</v>
      </c>
      <c r="G30" s="3" t="s">
        <v>24</v>
      </c>
      <c r="H30" s="3" t="s">
        <v>66</v>
      </c>
      <c r="I30" s="3">
        <v>3</v>
      </c>
      <c r="J30" s="3">
        <v>1</v>
      </c>
      <c r="K30" s="3">
        <v>1</v>
      </c>
      <c r="L30" s="3">
        <v>6</v>
      </c>
      <c r="M30" s="3" t="s">
        <v>36</v>
      </c>
      <c r="N30" s="3" t="s">
        <v>72</v>
      </c>
      <c r="O30" s="4">
        <v>45798</v>
      </c>
      <c r="P30" s="4">
        <v>45875</v>
      </c>
      <c r="Q30" s="3" t="s">
        <v>28</v>
      </c>
      <c r="R30" s="3" t="s">
        <v>24</v>
      </c>
      <c r="S30" s="4">
        <v>45881</v>
      </c>
    </row>
    <row r="31" spans="1:19" x14ac:dyDescent="0.2">
      <c r="A31" s="3">
        <v>7465</v>
      </c>
      <c r="B31" s="3" t="s">
        <v>19</v>
      </c>
      <c r="C31" s="3" t="s">
        <v>214</v>
      </c>
      <c r="D31" s="3" t="s">
        <v>74</v>
      </c>
      <c r="E31" s="3" t="s">
        <v>22</v>
      </c>
      <c r="F31" s="3" t="s">
        <v>23</v>
      </c>
      <c r="G31" s="3" t="s">
        <v>24</v>
      </c>
      <c r="H31" s="3" t="s">
        <v>25</v>
      </c>
      <c r="I31" s="3">
        <v>1</v>
      </c>
      <c r="J31" s="3">
        <v>1</v>
      </c>
      <c r="K31" s="3">
        <v>1</v>
      </c>
      <c r="L31" s="3">
        <v>12</v>
      </c>
      <c r="M31" s="3" t="s">
        <v>215</v>
      </c>
      <c r="N31" s="3" t="s">
        <v>216</v>
      </c>
      <c r="O31" s="4">
        <v>45799</v>
      </c>
      <c r="P31" s="4">
        <v>45800</v>
      </c>
      <c r="Q31" s="3" t="s">
        <v>28</v>
      </c>
      <c r="R31" s="3" t="s">
        <v>24</v>
      </c>
      <c r="S31" s="4">
        <v>45812</v>
      </c>
    </row>
    <row r="32" spans="1:19" x14ac:dyDescent="0.2">
      <c r="A32" s="3">
        <v>7466</v>
      </c>
      <c r="B32" s="3" t="s">
        <v>80</v>
      </c>
      <c r="C32" s="3" t="s">
        <v>125</v>
      </c>
      <c r="D32" s="3" t="s">
        <v>126</v>
      </c>
      <c r="E32" s="3" t="s">
        <v>217</v>
      </c>
      <c r="F32" s="3" t="s">
        <v>44</v>
      </c>
      <c r="G32" s="3" t="s">
        <v>24</v>
      </c>
      <c r="H32" s="3" t="s">
        <v>25</v>
      </c>
      <c r="I32" s="3">
        <v>1</v>
      </c>
      <c r="J32" s="3">
        <v>0</v>
      </c>
      <c r="K32" s="3">
        <v>0</v>
      </c>
      <c r="L32" s="3">
        <v>14</v>
      </c>
      <c r="M32" s="3" t="s">
        <v>60</v>
      </c>
      <c r="N32" s="3" t="s">
        <v>127</v>
      </c>
      <c r="O32" s="4">
        <v>45799</v>
      </c>
      <c r="P32" s="4">
        <v>45804</v>
      </c>
      <c r="Q32" s="3" t="s">
        <v>28</v>
      </c>
      <c r="R32" s="3" t="s">
        <v>47</v>
      </c>
      <c r="S32" s="4">
        <v>45818</v>
      </c>
    </row>
    <row r="33" spans="1:19" x14ac:dyDescent="0.2">
      <c r="A33" s="3">
        <v>7467</v>
      </c>
      <c r="B33" s="3" t="s">
        <v>19</v>
      </c>
      <c r="C33" s="3" t="s">
        <v>218</v>
      </c>
      <c r="D33" s="3" t="s">
        <v>219</v>
      </c>
      <c r="E33" s="3" t="s">
        <v>61</v>
      </c>
      <c r="F33" s="3" t="s">
        <v>23</v>
      </c>
      <c r="G33" s="3" t="s">
        <v>24</v>
      </c>
      <c r="H33" s="3" t="s">
        <v>25</v>
      </c>
      <c r="I33" s="3">
        <v>2</v>
      </c>
      <c r="J33" s="3">
        <v>0</v>
      </c>
      <c r="K33" s="3">
        <v>0</v>
      </c>
      <c r="L33" s="3">
        <v>20</v>
      </c>
      <c r="M33" s="3" t="s">
        <v>78</v>
      </c>
      <c r="N33" s="3" t="s">
        <v>200</v>
      </c>
      <c r="O33" s="4">
        <v>45799</v>
      </c>
      <c r="P33" s="4">
        <v>45800</v>
      </c>
      <c r="Q33" s="3" t="s">
        <v>28</v>
      </c>
      <c r="R33" s="3" t="s">
        <v>24</v>
      </c>
      <c r="S33" s="4">
        <v>45820</v>
      </c>
    </row>
    <row r="34" spans="1:19" x14ac:dyDescent="0.2">
      <c r="A34" s="3">
        <v>7468</v>
      </c>
      <c r="B34" s="3" t="s">
        <v>19</v>
      </c>
      <c r="C34" s="3" t="s">
        <v>218</v>
      </c>
      <c r="D34" s="3" t="s">
        <v>21</v>
      </c>
      <c r="E34" s="3" t="s">
        <v>61</v>
      </c>
      <c r="F34" s="3" t="s">
        <v>23</v>
      </c>
      <c r="G34" s="3" t="s">
        <v>24</v>
      </c>
      <c r="H34" s="3" t="s">
        <v>25</v>
      </c>
      <c r="I34" s="3">
        <v>4</v>
      </c>
      <c r="J34" s="3">
        <v>0</v>
      </c>
      <c r="K34" s="3">
        <v>0</v>
      </c>
      <c r="L34" s="3">
        <v>55</v>
      </c>
      <c r="M34" s="3" t="s">
        <v>38</v>
      </c>
      <c r="N34" s="3" t="s">
        <v>220</v>
      </c>
      <c r="O34" s="4">
        <v>45799</v>
      </c>
      <c r="P34" s="4">
        <v>45800</v>
      </c>
      <c r="Q34" s="3" t="s">
        <v>28</v>
      </c>
      <c r="R34" s="3" t="s">
        <v>24</v>
      </c>
      <c r="S34" s="4">
        <v>45855</v>
      </c>
    </row>
    <row r="35" spans="1:19" x14ac:dyDescent="0.2">
      <c r="A35" s="3">
        <v>7469</v>
      </c>
      <c r="B35" s="3" t="s">
        <v>151</v>
      </c>
      <c r="C35" s="3" t="s">
        <v>221</v>
      </c>
      <c r="D35" s="3" t="s">
        <v>85</v>
      </c>
      <c r="E35" s="3" t="s">
        <v>22</v>
      </c>
      <c r="F35" s="3" t="s">
        <v>44</v>
      </c>
      <c r="G35" s="3" t="s">
        <v>24</v>
      </c>
      <c r="H35" s="3" t="s">
        <v>66</v>
      </c>
      <c r="I35" s="3">
        <v>1</v>
      </c>
      <c r="J35" s="3">
        <v>1</v>
      </c>
      <c r="K35" s="3">
        <v>1</v>
      </c>
      <c r="L35" s="3">
        <v>7</v>
      </c>
      <c r="M35" s="3" t="s">
        <v>36</v>
      </c>
      <c r="N35" s="3" t="s">
        <v>222</v>
      </c>
      <c r="O35" s="4">
        <v>45800</v>
      </c>
      <c r="P35" s="4">
        <v>45805</v>
      </c>
      <c r="Q35" s="3" t="s">
        <v>34</v>
      </c>
      <c r="R35" s="3" t="s">
        <v>24</v>
      </c>
      <c r="S35" s="4">
        <v>45812</v>
      </c>
    </row>
    <row r="36" spans="1:19" x14ac:dyDescent="0.2">
      <c r="A36" s="3">
        <v>7470</v>
      </c>
      <c r="B36" s="3" t="s">
        <v>57</v>
      </c>
      <c r="C36" s="3" t="s">
        <v>58</v>
      </c>
      <c r="D36" s="3" t="s">
        <v>49</v>
      </c>
      <c r="E36" s="3" t="s">
        <v>22</v>
      </c>
      <c r="F36" s="3"/>
      <c r="G36" s="3" t="s">
        <v>24</v>
      </c>
      <c r="H36" s="3" t="s">
        <v>59</v>
      </c>
      <c r="I36" s="3">
        <v>1</v>
      </c>
      <c r="J36" s="3">
        <v>1</v>
      </c>
      <c r="K36" s="3">
        <v>1</v>
      </c>
      <c r="L36" s="3">
        <v>0</v>
      </c>
      <c r="M36" s="3" t="s">
        <v>36</v>
      </c>
      <c r="N36" s="3" t="s">
        <v>56</v>
      </c>
      <c r="O36" s="4">
        <v>45800</v>
      </c>
      <c r="P36" s="4">
        <v>45800</v>
      </c>
      <c r="Q36" s="3" t="s">
        <v>34</v>
      </c>
      <c r="R36" s="3" t="s">
        <v>47</v>
      </c>
      <c r="S36" s="4">
        <v>45800</v>
      </c>
    </row>
    <row r="37" spans="1:19" x14ac:dyDescent="0.2">
      <c r="A37" s="3">
        <v>7471</v>
      </c>
      <c r="B37" s="3" t="s">
        <v>223</v>
      </c>
      <c r="C37" s="3" t="s">
        <v>224</v>
      </c>
      <c r="D37" s="3" t="s">
        <v>35</v>
      </c>
      <c r="E37" s="3" t="s">
        <v>22</v>
      </c>
      <c r="F37" s="3"/>
      <c r="G37" s="3" t="s">
        <v>24</v>
      </c>
      <c r="H37" s="3" t="s">
        <v>45</v>
      </c>
      <c r="I37" s="3">
        <v>1</v>
      </c>
      <c r="J37" s="3">
        <v>1</v>
      </c>
      <c r="K37" s="3">
        <v>1</v>
      </c>
      <c r="L37" s="3"/>
      <c r="M37" s="3" t="s">
        <v>162</v>
      </c>
      <c r="N37" s="3" t="s">
        <v>101</v>
      </c>
      <c r="O37" s="4">
        <v>45800</v>
      </c>
      <c r="P37" s="4">
        <v>45800</v>
      </c>
      <c r="Q37" s="3" t="s">
        <v>28</v>
      </c>
      <c r="R37" s="3" t="s">
        <v>24</v>
      </c>
      <c r="S37" s="3"/>
    </row>
    <row r="38" spans="1:19" x14ac:dyDescent="0.2">
      <c r="A38" s="3">
        <v>7472</v>
      </c>
      <c r="B38" s="3" t="s">
        <v>57</v>
      </c>
      <c r="C38" s="3" t="s">
        <v>173</v>
      </c>
      <c r="D38" s="3" t="s">
        <v>21</v>
      </c>
      <c r="E38" s="3" t="s">
        <v>22</v>
      </c>
      <c r="F38" s="3" t="s">
        <v>23</v>
      </c>
      <c r="G38" s="3" t="s">
        <v>24</v>
      </c>
      <c r="H38" s="3" t="s">
        <v>59</v>
      </c>
      <c r="I38" s="3">
        <v>1</v>
      </c>
      <c r="J38" s="3">
        <v>1</v>
      </c>
      <c r="K38" s="3">
        <v>1</v>
      </c>
      <c r="L38" s="3">
        <v>6</v>
      </c>
      <c r="M38" s="3" t="s">
        <v>36</v>
      </c>
      <c r="N38" s="3" t="s">
        <v>156</v>
      </c>
      <c r="O38" s="4">
        <v>45804</v>
      </c>
      <c r="P38" s="4">
        <v>45805</v>
      </c>
      <c r="Q38" s="3" t="s">
        <v>28</v>
      </c>
      <c r="R38" s="3" t="s">
        <v>24</v>
      </c>
      <c r="S38" s="4">
        <v>45811</v>
      </c>
    </row>
    <row r="39" spans="1:19" x14ac:dyDescent="0.2">
      <c r="A39" s="3">
        <v>7473</v>
      </c>
      <c r="B39" s="3" t="s">
        <v>57</v>
      </c>
      <c r="C39" s="3" t="s">
        <v>173</v>
      </c>
      <c r="D39" s="3" t="s">
        <v>21</v>
      </c>
      <c r="E39" s="3" t="s">
        <v>22</v>
      </c>
      <c r="F39" s="3" t="s">
        <v>23</v>
      </c>
      <c r="G39" s="3" t="s">
        <v>24</v>
      </c>
      <c r="H39" s="3" t="s">
        <v>59</v>
      </c>
      <c r="I39" s="3">
        <v>1</v>
      </c>
      <c r="J39" s="3">
        <v>1</v>
      </c>
      <c r="K39" s="3">
        <v>1</v>
      </c>
      <c r="L39" s="3">
        <v>2</v>
      </c>
      <c r="M39" s="3" t="s">
        <v>36</v>
      </c>
      <c r="N39" s="3" t="s">
        <v>156</v>
      </c>
      <c r="O39" s="4">
        <v>45804</v>
      </c>
      <c r="P39" s="4">
        <v>45805</v>
      </c>
      <c r="Q39" s="3" t="s">
        <v>28</v>
      </c>
      <c r="R39" s="3" t="s">
        <v>24</v>
      </c>
      <c r="S39" s="4">
        <v>45807</v>
      </c>
    </row>
    <row r="40" spans="1:19" x14ac:dyDescent="0.2">
      <c r="A40" s="3">
        <v>7474</v>
      </c>
      <c r="B40" s="3" t="s">
        <v>225</v>
      </c>
      <c r="C40" s="3" t="s">
        <v>226</v>
      </c>
      <c r="D40" s="3" t="s">
        <v>123</v>
      </c>
      <c r="E40" s="3" t="s">
        <v>22</v>
      </c>
      <c r="F40" s="3"/>
      <c r="G40" s="3" t="s">
        <v>24</v>
      </c>
      <c r="H40" s="3" t="s">
        <v>132</v>
      </c>
      <c r="I40" s="3">
        <v>1</v>
      </c>
      <c r="J40" s="3">
        <v>1</v>
      </c>
      <c r="K40" s="3">
        <v>1</v>
      </c>
      <c r="L40" s="3">
        <v>0</v>
      </c>
      <c r="M40" s="3"/>
      <c r="N40" s="3" t="s">
        <v>56</v>
      </c>
      <c r="O40" s="4">
        <v>45805</v>
      </c>
      <c r="P40" s="4">
        <v>45805</v>
      </c>
      <c r="Q40" s="3" t="s">
        <v>34</v>
      </c>
      <c r="R40" s="3" t="s">
        <v>24</v>
      </c>
      <c r="S40" s="4">
        <v>45805</v>
      </c>
    </row>
    <row r="41" spans="1:19" x14ac:dyDescent="0.2">
      <c r="A41" s="3">
        <v>7475</v>
      </c>
      <c r="B41" s="3" t="s">
        <v>153</v>
      </c>
      <c r="C41" s="3" t="s">
        <v>154</v>
      </c>
      <c r="D41" s="3" t="s">
        <v>137</v>
      </c>
      <c r="E41" s="3" t="s">
        <v>22</v>
      </c>
      <c r="F41" s="3" t="s">
        <v>44</v>
      </c>
      <c r="G41" s="3" t="s">
        <v>24</v>
      </c>
      <c r="H41" s="3" t="s">
        <v>25</v>
      </c>
      <c r="I41" s="3">
        <v>2</v>
      </c>
      <c r="J41" s="3">
        <v>1</v>
      </c>
      <c r="K41" s="3">
        <v>1</v>
      </c>
      <c r="L41" s="3">
        <v>21</v>
      </c>
      <c r="M41" s="3" t="s">
        <v>36</v>
      </c>
      <c r="N41" s="3" t="s">
        <v>83</v>
      </c>
      <c r="O41" s="4">
        <v>45806</v>
      </c>
      <c r="P41" s="4">
        <v>45806</v>
      </c>
      <c r="Q41" s="3" t="s">
        <v>34</v>
      </c>
      <c r="R41" s="3" t="s">
        <v>47</v>
      </c>
      <c r="S41" s="4">
        <v>45827</v>
      </c>
    </row>
    <row r="42" spans="1:19" x14ac:dyDescent="0.2">
      <c r="A42" s="3">
        <v>7476</v>
      </c>
      <c r="B42" s="3" t="s">
        <v>227</v>
      </c>
      <c r="C42" s="3" t="s">
        <v>228</v>
      </c>
      <c r="D42" s="3" t="s">
        <v>31</v>
      </c>
      <c r="E42" s="3" t="s">
        <v>22</v>
      </c>
      <c r="F42" s="3" t="s">
        <v>229</v>
      </c>
      <c r="G42" s="3" t="s">
        <v>24</v>
      </c>
      <c r="H42" s="3" t="s">
        <v>230</v>
      </c>
      <c r="I42" s="3">
        <v>1</v>
      </c>
      <c r="J42" s="3">
        <v>1</v>
      </c>
      <c r="K42" s="3">
        <v>1</v>
      </c>
      <c r="L42" s="3">
        <v>1</v>
      </c>
      <c r="M42" s="3" t="s">
        <v>38</v>
      </c>
      <c r="N42" s="3" t="s">
        <v>231</v>
      </c>
      <c r="O42" s="4">
        <v>45806</v>
      </c>
      <c r="P42" s="4">
        <v>45806</v>
      </c>
      <c r="Q42" s="3" t="s">
        <v>34</v>
      </c>
      <c r="R42" s="3" t="s">
        <v>47</v>
      </c>
      <c r="S42" s="4">
        <v>45807</v>
      </c>
    </row>
    <row r="43" spans="1:19" x14ac:dyDescent="0.2">
      <c r="A43" s="3">
        <v>7477</v>
      </c>
      <c r="B43" s="3" t="s">
        <v>232</v>
      </c>
      <c r="C43" s="3" t="s">
        <v>233</v>
      </c>
      <c r="D43" s="3" t="s">
        <v>234</v>
      </c>
      <c r="E43" s="3" t="s">
        <v>22</v>
      </c>
      <c r="F43" s="3"/>
      <c r="G43" s="3" t="s">
        <v>24</v>
      </c>
      <c r="H43" s="3" t="s">
        <v>132</v>
      </c>
      <c r="I43" s="3">
        <v>1</v>
      </c>
      <c r="J43" s="3">
        <v>1</v>
      </c>
      <c r="K43" s="3">
        <v>1</v>
      </c>
      <c r="L43" s="3">
        <v>0</v>
      </c>
      <c r="M43" s="3" t="s">
        <v>38</v>
      </c>
      <c r="N43" s="3" t="s">
        <v>56</v>
      </c>
      <c r="O43" s="4">
        <v>45807</v>
      </c>
      <c r="P43" s="4">
        <v>45807</v>
      </c>
      <c r="Q43" s="3" t="s">
        <v>34</v>
      </c>
      <c r="R43" s="3" t="s">
        <v>47</v>
      </c>
      <c r="S43" s="4">
        <v>45807</v>
      </c>
    </row>
    <row r="44" spans="1:19" x14ac:dyDescent="0.2">
      <c r="A44" s="3">
        <v>7478</v>
      </c>
      <c r="B44" s="3" t="s">
        <v>57</v>
      </c>
      <c r="C44" s="3" t="s">
        <v>235</v>
      </c>
      <c r="D44" s="3" t="s">
        <v>35</v>
      </c>
      <c r="E44" s="3" t="s">
        <v>22</v>
      </c>
      <c r="F44" s="3"/>
      <c r="G44" s="3" t="s">
        <v>24</v>
      </c>
      <c r="H44" s="3" t="s">
        <v>59</v>
      </c>
      <c r="I44" s="3">
        <v>2</v>
      </c>
      <c r="J44" s="3">
        <v>1</v>
      </c>
      <c r="K44" s="3">
        <v>1</v>
      </c>
      <c r="L44" s="3">
        <v>12</v>
      </c>
      <c r="M44" s="3" t="s">
        <v>78</v>
      </c>
      <c r="N44" s="3" t="s">
        <v>56</v>
      </c>
      <c r="O44" s="4">
        <v>45807</v>
      </c>
      <c r="P44" s="4">
        <v>45813</v>
      </c>
      <c r="Q44" s="3" t="s">
        <v>41</v>
      </c>
      <c r="R44" s="3" t="s">
        <v>47</v>
      </c>
      <c r="S44" s="4">
        <v>45825</v>
      </c>
    </row>
    <row r="45" spans="1:19" x14ac:dyDescent="0.2">
      <c r="A45" s="3">
        <v>7479</v>
      </c>
      <c r="B45" s="3" t="s">
        <v>57</v>
      </c>
      <c r="C45" s="3" t="s">
        <v>157</v>
      </c>
      <c r="D45" s="3" t="s">
        <v>21</v>
      </c>
      <c r="E45" s="3" t="s">
        <v>22</v>
      </c>
      <c r="F45" s="3" t="s">
        <v>229</v>
      </c>
      <c r="G45" s="3" t="s">
        <v>24</v>
      </c>
      <c r="H45" s="3" t="s">
        <v>59</v>
      </c>
      <c r="I45" s="3">
        <v>1</v>
      </c>
      <c r="J45" s="3">
        <v>1</v>
      </c>
      <c r="K45" s="3">
        <v>1</v>
      </c>
      <c r="L45" s="3">
        <v>4</v>
      </c>
      <c r="M45" s="3" t="s">
        <v>36</v>
      </c>
      <c r="N45" s="3" t="s">
        <v>72</v>
      </c>
      <c r="O45" s="4">
        <v>45807</v>
      </c>
      <c r="P45" s="4">
        <v>45810</v>
      </c>
      <c r="Q45" s="3" t="s">
        <v>28</v>
      </c>
      <c r="R45" s="3" t="s">
        <v>47</v>
      </c>
      <c r="S45" s="4">
        <v>45814</v>
      </c>
    </row>
    <row r="47" spans="1:19" x14ac:dyDescent="0.2">
      <c r="I47">
        <f>SUM(I2:I45)</f>
        <v>114</v>
      </c>
      <c r="J47">
        <f>SUM(J2:J45)</f>
        <v>32</v>
      </c>
    </row>
    <row r="49" spans="9:10" x14ac:dyDescent="0.2">
      <c r="I49" t="s">
        <v>515</v>
      </c>
      <c r="J49" s="5">
        <f>J47/I47</f>
        <v>0.2807017543859649</v>
      </c>
    </row>
    <row r="50" spans="9:10" x14ac:dyDescent="0.2">
      <c r="I50" t="s">
        <v>516</v>
      </c>
      <c r="J50" s="5">
        <f>('04 - April'!J58+'05 - May'!J47)/('04 - April'!I58+'05 - May'!I47)</f>
        <v>0.25806451612903225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74F83-60F5-524E-B4F5-2FC458216324}">
  <dimension ref="A1:S87"/>
  <sheetViews>
    <sheetView topLeftCell="A66" workbookViewId="0">
      <selection activeCell="I82" sqref="I82"/>
    </sheetView>
  </sheetViews>
  <sheetFormatPr baseColWidth="10" defaultRowHeight="15" x14ac:dyDescent="0.2"/>
  <sheetData>
    <row r="1" spans="1:1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s="3">
        <v>7480</v>
      </c>
      <c r="B2" s="3" t="s">
        <v>223</v>
      </c>
      <c r="C2" s="3" t="s">
        <v>224</v>
      </c>
      <c r="D2" s="3" t="s">
        <v>35</v>
      </c>
      <c r="E2" s="3" t="s">
        <v>161</v>
      </c>
      <c r="F2" s="3"/>
      <c r="G2" s="3" t="s">
        <v>24</v>
      </c>
      <c r="H2" s="3" t="s">
        <v>45</v>
      </c>
      <c r="I2" s="3">
        <v>2</v>
      </c>
      <c r="J2" s="3">
        <v>0</v>
      </c>
      <c r="K2" s="3">
        <v>0</v>
      </c>
      <c r="L2" s="3">
        <v>17</v>
      </c>
      <c r="M2" s="3" t="s">
        <v>100</v>
      </c>
      <c r="N2" s="3" t="s">
        <v>121</v>
      </c>
      <c r="O2" s="4">
        <v>45810</v>
      </c>
      <c r="P2" s="4">
        <v>45831</v>
      </c>
      <c r="Q2" s="3" t="s">
        <v>28</v>
      </c>
      <c r="R2" s="3" t="s">
        <v>24</v>
      </c>
      <c r="S2" s="4">
        <v>45848</v>
      </c>
    </row>
    <row r="3" spans="1:19" x14ac:dyDescent="0.2">
      <c r="A3" s="3">
        <v>7481</v>
      </c>
      <c r="B3" s="3" t="s">
        <v>63</v>
      </c>
      <c r="C3" s="3" t="s">
        <v>236</v>
      </c>
      <c r="D3" s="3" t="s">
        <v>85</v>
      </c>
      <c r="E3" s="3" t="s">
        <v>161</v>
      </c>
      <c r="F3" s="3" t="s">
        <v>44</v>
      </c>
      <c r="G3" s="3" t="s">
        <v>24</v>
      </c>
      <c r="H3" s="3" t="s">
        <v>66</v>
      </c>
      <c r="I3" s="3">
        <v>2</v>
      </c>
      <c r="J3" s="3">
        <v>0</v>
      </c>
      <c r="K3" s="3">
        <v>0</v>
      </c>
      <c r="L3" s="3">
        <v>35</v>
      </c>
      <c r="M3" s="3" t="s">
        <v>60</v>
      </c>
      <c r="N3" s="3" t="s">
        <v>138</v>
      </c>
      <c r="O3" s="4">
        <v>45810</v>
      </c>
      <c r="P3" s="4">
        <v>45811</v>
      </c>
      <c r="Q3" s="3" t="s">
        <v>28</v>
      </c>
      <c r="R3" s="3" t="s">
        <v>24</v>
      </c>
      <c r="S3" s="4">
        <v>45846</v>
      </c>
    </row>
    <row r="4" spans="1:19" x14ac:dyDescent="0.2">
      <c r="A4" s="3">
        <v>7482</v>
      </c>
      <c r="B4" s="3" t="s">
        <v>63</v>
      </c>
      <c r="C4" s="3" t="s">
        <v>236</v>
      </c>
      <c r="D4" s="3" t="s">
        <v>85</v>
      </c>
      <c r="E4" s="3" t="s">
        <v>161</v>
      </c>
      <c r="F4" s="3" t="s">
        <v>44</v>
      </c>
      <c r="G4" s="3" t="s">
        <v>24</v>
      </c>
      <c r="H4" s="3" t="s">
        <v>66</v>
      </c>
      <c r="I4" s="3">
        <v>2</v>
      </c>
      <c r="J4" s="3">
        <v>0</v>
      </c>
      <c r="K4" s="3">
        <v>0</v>
      </c>
      <c r="L4" s="3">
        <v>35</v>
      </c>
      <c r="M4" s="3" t="s">
        <v>60</v>
      </c>
      <c r="N4" s="3" t="s">
        <v>138</v>
      </c>
      <c r="O4" s="4">
        <v>45810</v>
      </c>
      <c r="P4" s="4">
        <v>45811</v>
      </c>
      <c r="Q4" s="3" t="s">
        <v>28</v>
      </c>
      <c r="R4" s="3" t="s">
        <v>24</v>
      </c>
      <c r="S4" s="4">
        <v>45846</v>
      </c>
    </row>
    <row r="5" spans="1:19" x14ac:dyDescent="0.2">
      <c r="A5" s="3">
        <v>7483</v>
      </c>
      <c r="B5" s="3" t="s">
        <v>63</v>
      </c>
      <c r="C5" s="3" t="s">
        <v>236</v>
      </c>
      <c r="D5" s="3" t="s">
        <v>89</v>
      </c>
      <c r="E5" s="3" t="s">
        <v>161</v>
      </c>
      <c r="F5" s="3" t="s">
        <v>44</v>
      </c>
      <c r="G5" s="3" t="s">
        <v>24</v>
      </c>
      <c r="H5" s="3" t="s">
        <v>66</v>
      </c>
      <c r="I5" s="3">
        <v>2</v>
      </c>
      <c r="J5" s="3">
        <v>0</v>
      </c>
      <c r="K5" s="3">
        <v>0</v>
      </c>
      <c r="L5" s="3">
        <v>33</v>
      </c>
      <c r="M5" s="3" t="s">
        <v>60</v>
      </c>
      <c r="N5" s="3" t="s">
        <v>237</v>
      </c>
      <c r="O5" s="4">
        <v>45810</v>
      </c>
      <c r="P5" s="4">
        <v>45813</v>
      </c>
      <c r="Q5" s="3" t="s">
        <v>28</v>
      </c>
      <c r="R5" s="3" t="s">
        <v>24</v>
      </c>
      <c r="S5" s="4">
        <v>45846</v>
      </c>
    </row>
    <row r="6" spans="1:19" x14ac:dyDescent="0.2">
      <c r="A6" s="3">
        <v>7485</v>
      </c>
      <c r="B6" s="3" t="s">
        <v>42</v>
      </c>
      <c r="C6" s="3" t="s">
        <v>43</v>
      </c>
      <c r="D6" s="3" t="s">
        <v>126</v>
      </c>
      <c r="E6" s="3" t="s">
        <v>61</v>
      </c>
      <c r="F6" s="3" t="s">
        <v>238</v>
      </c>
      <c r="G6" s="3" t="s">
        <v>24</v>
      </c>
      <c r="H6" s="3" t="s">
        <v>45</v>
      </c>
      <c r="I6" s="3">
        <v>3</v>
      </c>
      <c r="J6" s="3">
        <v>0</v>
      </c>
      <c r="K6" s="3">
        <v>0</v>
      </c>
      <c r="L6" s="3">
        <v>57</v>
      </c>
      <c r="M6" s="3" t="s">
        <v>36</v>
      </c>
      <c r="N6" s="3" t="s">
        <v>239</v>
      </c>
      <c r="O6" s="4">
        <v>45812</v>
      </c>
      <c r="P6" s="4">
        <v>45825</v>
      </c>
      <c r="Q6" s="3" t="s">
        <v>28</v>
      </c>
      <c r="R6" s="3" t="s">
        <v>24</v>
      </c>
      <c r="S6" s="4">
        <v>45882</v>
      </c>
    </row>
    <row r="7" spans="1:19" x14ac:dyDescent="0.2">
      <c r="A7" s="3">
        <v>7486</v>
      </c>
      <c r="B7" s="3" t="s">
        <v>240</v>
      </c>
      <c r="C7" s="3" t="s">
        <v>241</v>
      </c>
      <c r="D7" s="3" t="s">
        <v>74</v>
      </c>
      <c r="E7" s="3" t="s">
        <v>61</v>
      </c>
      <c r="F7" s="3" t="s">
        <v>44</v>
      </c>
      <c r="G7" s="3" t="s">
        <v>24</v>
      </c>
      <c r="H7" s="3" t="s">
        <v>132</v>
      </c>
      <c r="I7" s="3">
        <v>5</v>
      </c>
      <c r="J7" s="3">
        <v>0</v>
      </c>
      <c r="K7" s="3">
        <v>0</v>
      </c>
      <c r="L7" s="3">
        <v>107</v>
      </c>
      <c r="M7" s="3" t="s">
        <v>36</v>
      </c>
      <c r="N7" s="3" t="s">
        <v>83</v>
      </c>
      <c r="O7" s="4">
        <v>45812</v>
      </c>
      <c r="P7" s="4">
        <v>45818</v>
      </c>
      <c r="Q7" s="3" t="s">
        <v>28</v>
      </c>
      <c r="R7" s="3" t="s">
        <v>47</v>
      </c>
      <c r="S7" s="4">
        <v>45925</v>
      </c>
    </row>
    <row r="8" spans="1:19" x14ac:dyDescent="0.2">
      <c r="A8" s="3">
        <v>7487</v>
      </c>
      <c r="B8" s="3" t="s">
        <v>19</v>
      </c>
      <c r="C8" s="3" t="s">
        <v>242</v>
      </c>
      <c r="D8" s="3" t="s">
        <v>165</v>
      </c>
      <c r="E8" s="3" t="s">
        <v>217</v>
      </c>
      <c r="F8" s="3"/>
      <c r="G8" s="3" t="s">
        <v>24</v>
      </c>
      <c r="H8" s="3" t="s">
        <v>25</v>
      </c>
      <c r="I8" s="3">
        <v>3</v>
      </c>
      <c r="J8" s="3">
        <v>0</v>
      </c>
      <c r="K8" s="3">
        <v>0</v>
      </c>
      <c r="L8" s="3">
        <v>13</v>
      </c>
      <c r="M8" s="3" t="s">
        <v>38</v>
      </c>
      <c r="N8" s="3" t="s">
        <v>207</v>
      </c>
      <c r="O8" s="4">
        <v>45812</v>
      </c>
      <c r="P8" s="4">
        <v>45812</v>
      </c>
      <c r="Q8" s="3" t="s">
        <v>34</v>
      </c>
      <c r="R8" s="3" t="s">
        <v>24</v>
      </c>
      <c r="S8" s="4">
        <v>45825</v>
      </c>
    </row>
    <row r="9" spans="1:19" x14ac:dyDescent="0.2">
      <c r="A9" s="3">
        <v>7488</v>
      </c>
      <c r="B9" s="3" t="s">
        <v>63</v>
      </c>
      <c r="C9" s="3" t="s">
        <v>166</v>
      </c>
      <c r="D9" s="3" t="s">
        <v>243</v>
      </c>
      <c r="E9" s="3" t="s">
        <v>22</v>
      </c>
      <c r="F9" s="3" t="s">
        <v>44</v>
      </c>
      <c r="G9" s="3" t="s">
        <v>24</v>
      </c>
      <c r="H9" s="3" t="s">
        <v>66</v>
      </c>
      <c r="I9" s="3">
        <v>2</v>
      </c>
      <c r="J9" s="3">
        <v>1</v>
      </c>
      <c r="K9" s="3">
        <v>1</v>
      </c>
      <c r="L9" s="3">
        <v>7</v>
      </c>
      <c r="M9" s="3" t="s">
        <v>36</v>
      </c>
      <c r="N9" s="3" t="s">
        <v>244</v>
      </c>
      <c r="O9" s="4">
        <v>45812</v>
      </c>
      <c r="P9" s="4">
        <v>45825</v>
      </c>
      <c r="Q9" s="3" t="s">
        <v>28</v>
      </c>
      <c r="R9" s="3" t="s">
        <v>24</v>
      </c>
      <c r="S9" s="4">
        <v>45832</v>
      </c>
    </row>
    <row r="10" spans="1:19" x14ac:dyDescent="0.2">
      <c r="A10" s="3">
        <v>7490</v>
      </c>
      <c r="B10" s="3" t="s">
        <v>245</v>
      </c>
      <c r="C10" s="3" t="s">
        <v>246</v>
      </c>
      <c r="D10" s="3" t="s">
        <v>111</v>
      </c>
      <c r="E10" s="3" t="s">
        <v>22</v>
      </c>
      <c r="F10" s="3"/>
      <c r="G10" s="3" t="s">
        <v>24</v>
      </c>
      <c r="H10" s="3" t="s">
        <v>45</v>
      </c>
      <c r="I10" s="3">
        <v>1</v>
      </c>
      <c r="J10" s="3">
        <v>1</v>
      </c>
      <c r="K10" s="3">
        <v>1</v>
      </c>
      <c r="L10" s="3">
        <v>0</v>
      </c>
      <c r="M10" s="3" t="s">
        <v>78</v>
      </c>
      <c r="N10" s="3" t="s">
        <v>56</v>
      </c>
      <c r="O10" s="4">
        <v>45813</v>
      </c>
      <c r="P10" s="4">
        <v>45825</v>
      </c>
      <c r="Q10" s="3" t="s">
        <v>34</v>
      </c>
      <c r="R10" s="3" t="s">
        <v>24</v>
      </c>
      <c r="S10" s="4">
        <v>45825</v>
      </c>
    </row>
    <row r="11" spans="1:19" x14ac:dyDescent="0.2">
      <c r="A11" s="3">
        <v>7491</v>
      </c>
      <c r="B11" s="3" t="s">
        <v>247</v>
      </c>
      <c r="C11" s="3" t="s">
        <v>248</v>
      </c>
      <c r="D11" s="3" t="s">
        <v>89</v>
      </c>
      <c r="E11" s="3" t="s">
        <v>22</v>
      </c>
      <c r="F11" s="3"/>
      <c r="G11" s="3" t="s">
        <v>24</v>
      </c>
      <c r="H11" s="3" t="s">
        <v>45</v>
      </c>
      <c r="I11" s="3">
        <v>2</v>
      </c>
      <c r="J11" s="3">
        <v>1</v>
      </c>
      <c r="K11" s="3">
        <v>1</v>
      </c>
      <c r="L11" s="3">
        <v>8</v>
      </c>
      <c r="M11" s="3" t="s">
        <v>36</v>
      </c>
      <c r="N11" s="3" t="s">
        <v>249</v>
      </c>
      <c r="O11" s="4">
        <v>45813</v>
      </c>
      <c r="P11" s="4">
        <v>45813</v>
      </c>
      <c r="Q11" s="3" t="s">
        <v>34</v>
      </c>
      <c r="R11" s="3" t="s">
        <v>24</v>
      </c>
      <c r="S11" s="4">
        <v>45821</v>
      </c>
    </row>
    <row r="12" spans="1:19" x14ac:dyDescent="0.2">
      <c r="A12" s="3">
        <v>7492</v>
      </c>
      <c r="B12" s="3" t="s">
        <v>250</v>
      </c>
      <c r="C12" s="3" t="s">
        <v>251</v>
      </c>
      <c r="D12" s="3" t="s">
        <v>89</v>
      </c>
      <c r="E12" s="3" t="s">
        <v>61</v>
      </c>
      <c r="F12" s="3" t="s">
        <v>229</v>
      </c>
      <c r="G12" s="3" t="s">
        <v>24</v>
      </c>
      <c r="H12" s="3" t="s">
        <v>25</v>
      </c>
      <c r="I12" s="3">
        <v>2</v>
      </c>
      <c r="J12" s="3">
        <v>0</v>
      </c>
      <c r="K12" s="3">
        <v>0</v>
      </c>
      <c r="L12" s="3">
        <v>31</v>
      </c>
      <c r="M12" s="3" t="s">
        <v>60</v>
      </c>
      <c r="N12" s="3" t="s">
        <v>252</v>
      </c>
      <c r="O12" s="4">
        <v>45814</v>
      </c>
      <c r="P12" s="4">
        <v>45818</v>
      </c>
      <c r="Q12" s="3" t="s">
        <v>28</v>
      </c>
      <c r="R12" s="3" t="s">
        <v>24</v>
      </c>
      <c r="S12" s="4">
        <v>45849</v>
      </c>
    </row>
    <row r="13" spans="1:19" x14ac:dyDescent="0.2">
      <c r="A13" s="3">
        <v>7493</v>
      </c>
      <c r="B13" s="3" t="s">
        <v>250</v>
      </c>
      <c r="C13" s="3" t="s">
        <v>251</v>
      </c>
      <c r="D13" s="3" t="s">
        <v>89</v>
      </c>
      <c r="E13" s="3" t="s">
        <v>61</v>
      </c>
      <c r="F13" s="3" t="s">
        <v>229</v>
      </c>
      <c r="G13" s="3" t="s">
        <v>24</v>
      </c>
      <c r="H13" s="3" t="s">
        <v>25</v>
      </c>
      <c r="I13" s="3">
        <v>2</v>
      </c>
      <c r="J13" s="3">
        <v>0</v>
      </c>
      <c r="K13" s="3">
        <v>0</v>
      </c>
      <c r="L13" s="3">
        <v>31</v>
      </c>
      <c r="M13" s="3" t="s">
        <v>60</v>
      </c>
      <c r="N13" s="3" t="s">
        <v>56</v>
      </c>
      <c r="O13" s="4">
        <v>45814</v>
      </c>
      <c r="P13" s="4">
        <v>45818</v>
      </c>
      <c r="Q13" s="3" t="s">
        <v>28</v>
      </c>
      <c r="R13" s="3" t="s">
        <v>24</v>
      </c>
      <c r="S13" s="4">
        <v>45849</v>
      </c>
    </row>
    <row r="14" spans="1:19" x14ac:dyDescent="0.2">
      <c r="A14" s="3">
        <v>7494</v>
      </c>
      <c r="B14" s="3" t="s">
        <v>253</v>
      </c>
      <c r="C14" s="3" t="s">
        <v>254</v>
      </c>
      <c r="D14" s="3" t="s">
        <v>111</v>
      </c>
      <c r="E14" s="3" t="s">
        <v>161</v>
      </c>
      <c r="F14" s="3" t="s">
        <v>229</v>
      </c>
      <c r="G14" s="3" t="s">
        <v>24</v>
      </c>
      <c r="H14" s="3" t="s">
        <v>25</v>
      </c>
      <c r="I14" s="3">
        <v>5</v>
      </c>
      <c r="J14" s="3">
        <v>0</v>
      </c>
      <c r="K14" s="3">
        <v>0</v>
      </c>
      <c r="L14" s="3">
        <v>21</v>
      </c>
      <c r="M14" s="3" t="s">
        <v>78</v>
      </c>
      <c r="N14" s="3" t="s">
        <v>255</v>
      </c>
      <c r="O14" s="4">
        <v>45814</v>
      </c>
      <c r="P14" s="4">
        <v>45818</v>
      </c>
      <c r="Q14" s="3" t="s">
        <v>28</v>
      </c>
      <c r="R14" s="3" t="s">
        <v>24</v>
      </c>
      <c r="S14" s="4">
        <v>45839</v>
      </c>
    </row>
    <row r="15" spans="1:19" x14ac:dyDescent="0.2">
      <c r="A15" s="3">
        <v>7495</v>
      </c>
      <c r="B15" s="3" t="s">
        <v>256</v>
      </c>
      <c r="C15" s="3" t="s">
        <v>257</v>
      </c>
      <c r="D15" s="3" t="s">
        <v>31</v>
      </c>
      <c r="E15" s="3" t="s">
        <v>22</v>
      </c>
      <c r="F15" s="3" t="s">
        <v>229</v>
      </c>
      <c r="G15" s="3" t="s">
        <v>24</v>
      </c>
      <c r="H15" s="3" t="s">
        <v>25</v>
      </c>
      <c r="I15" s="3">
        <v>1</v>
      </c>
      <c r="J15" s="3">
        <v>1</v>
      </c>
      <c r="K15" s="3">
        <v>1</v>
      </c>
      <c r="L15" s="3">
        <v>19</v>
      </c>
      <c r="M15" s="3" t="s">
        <v>215</v>
      </c>
      <c r="N15" s="3" t="s">
        <v>56</v>
      </c>
      <c r="O15" s="4">
        <v>45814</v>
      </c>
      <c r="P15" s="4">
        <v>45814</v>
      </c>
      <c r="Q15" s="3" t="s">
        <v>28</v>
      </c>
      <c r="R15" s="3" t="s">
        <v>24</v>
      </c>
      <c r="S15" s="4">
        <v>45833</v>
      </c>
    </row>
    <row r="16" spans="1:19" x14ac:dyDescent="0.2">
      <c r="A16" s="3">
        <v>7496</v>
      </c>
      <c r="B16" s="3" t="s">
        <v>258</v>
      </c>
      <c r="C16" s="3" t="s">
        <v>259</v>
      </c>
      <c r="D16" s="3" t="s">
        <v>260</v>
      </c>
      <c r="E16" s="3" t="s">
        <v>22</v>
      </c>
      <c r="F16" s="3" t="s">
        <v>229</v>
      </c>
      <c r="G16" s="3" t="s">
        <v>24</v>
      </c>
      <c r="H16" s="3" t="s">
        <v>25</v>
      </c>
      <c r="I16" s="3">
        <v>2</v>
      </c>
      <c r="J16" s="3">
        <v>1</v>
      </c>
      <c r="K16" s="3">
        <v>1</v>
      </c>
      <c r="L16" s="3">
        <v>46</v>
      </c>
      <c r="M16" s="3" t="s">
        <v>38</v>
      </c>
      <c r="N16" s="3" t="s">
        <v>56</v>
      </c>
      <c r="O16" s="4">
        <v>45814</v>
      </c>
      <c r="P16" s="4">
        <v>45820</v>
      </c>
      <c r="Q16" s="3" t="s">
        <v>34</v>
      </c>
      <c r="R16" s="3" t="s">
        <v>24</v>
      </c>
      <c r="S16" s="4">
        <v>45866</v>
      </c>
    </row>
    <row r="17" spans="1:19" x14ac:dyDescent="0.2">
      <c r="A17" s="3">
        <v>7497</v>
      </c>
      <c r="B17" s="3" t="s">
        <v>258</v>
      </c>
      <c r="C17" s="3" t="s">
        <v>259</v>
      </c>
      <c r="D17" s="3" t="s">
        <v>260</v>
      </c>
      <c r="E17" s="3" t="s">
        <v>22</v>
      </c>
      <c r="F17" s="3" t="s">
        <v>229</v>
      </c>
      <c r="G17" s="3" t="s">
        <v>24</v>
      </c>
      <c r="H17" s="3" t="s">
        <v>25</v>
      </c>
      <c r="I17" s="3">
        <v>1</v>
      </c>
      <c r="J17" s="3">
        <v>1</v>
      </c>
      <c r="K17" s="3">
        <v>1</v>
      </c>
      <c r="L17" s="3">
        <v>46</v>
      </c>
      <c r="M17" s="3" t="s">
        <v>38</v>
      </c>
      <c r="N17" s="3" t="s">
        <v>56</v>
      </c>
      <c r="O17" s="4">
        <v>45814</v>
      </c>
      <c r="P17" s="4">
        <v>45820</v>
      </c>
      <c r="Q17" s="3" t="s">
        <v>34</v>
      </c>
      <c r="R17" s="3" t="s">
        <v>24</v>
      </c>
      <c r="S17" s="4">
        <v>45866</v>
      </c>
    </row>
    <row r="18" spans="1:19" x14ac:dyDescent="0.2">
      <c r="A18" s="3">
        <v>7498</v>
      </c>
      <c r="B18" s="3" t="s">
        <v>258</v>
      </c>
      <c r="C18" s="3" t="s">
        <v>259</v>
      </c>
      <c r="D18" s="3" t="s">
        <v>260</v>
      </c>
      <c r="E18" s="3" t="s">
        <v>22</v>
      </c>
      <c r="F18" s="3" t="s">
        <v>229</v>
      </c>
      <c r="G18" s="3" t="s">
        <v>24</v>
      </c>
      <c r="H18" s="3" t="s">
        <v>25</v>
      </c>
      <c r="I18" s="3">
        <v>1</v>
      </c>
      <c r="J18" s="3">
        <v>1</v>
      </c>
      <c r="K18" s="3">
        <v>1</v>
      </c>
      <c r="L18" s="3">
        <v>46</v>
      </c>
      <c r="M18" s="3" t="s">
        <v>26</v>
      </c>
      <c r="N18" s="3" t="s">
        <v>56</v>
      </c>
      <c r="O18" s="4">
        <v>45814</v>
      </c>
      <c r="P18" s="4">
        <v>45820</v>
      </c>
      <c r="Q18" s="3" t="s">
        <v>34</v>
      </c>
      <c r="R18" s="3" t="s">
        <v>24</v>
      </c>
      <c r="S18" s="4">
        <v>45866</v>
      </c>
    </row>
    <row r="19" spans="1:19" x14ac:dyDescent="0.2">
      <c r="A19" s="3">
        <v>7499</v>
      </c>
      <c r="B19" s="3" t="s">
        <v>261</v>
      </c>
      <c r="C19" s="3" t="s">
        <v>262</v>
      </c>
      <c r="D19" s="3" t="s">
        <v>145</v>
      </c>
      <c r="E19" s="3" t="s">
        <v>22</v>
      </c>
      <c r="F19" s="3" t="s">
        <v>23</v>
      </c>
      <c r="G19" s="3" t="s">
        <v>24</v>
      </c>
      <c r="H19" s="3" t="s">
        <v>25</v>
      </c>
      <c r="I19" s="3">
        <v>3</v>
      </c>
      <c r="J19" s="3">
        <v>1</v>
      </c>
      <c r="K19" s="3">
        <v>1</v>
      </c>
      <c r="L19" s="3">
        <v>21</v>
      </c>
      <c r="M19" s="3" t="s">
        <v>36</v>
      </c>
      <c r="N19" s="3" t="s">
        <v>263</v>
      </c>
      <c r="O19" s="4">
        <v>45814</v>
      </c>
      <c r="P19" s="4">
        <v>45818</v>
      </c>
      <c r="Q19" s="3" t="s">
        <v>41</v>
      </c>
      <c r="R19" s="3" t="s">
        <v>24</v>
      </c>
      <c r="S19" s="4">
        <v>45839</v>
      </c>
    </row>
    <row r="20" spans="1:19" x14ac:dyDescent="0.2">
      <c r="A20" s="3">
        <v>7502</v>
      </c>
      <c r="B20" s="3" t="s">
        <v>264</v>
      </c>
      <c r="C20" s="3" t="s">
        <v>265</v>
      </c>
      <c r="D20" s="3" t="s">
        <v>21</v>
      </c>
      <c r="E20" s="3" t="s">
        <v>22</v>
      </c>
      <c r="F20" s="3" t="s">
        <v>44</v>
      </c>
      <c r="G20" s="3" t="s">
        <v>24</v>
      </c>
      <c r="H20" s="3" t="s">
        <v>132</v>
      </c>
      <c r="I20" s="3">
        <v>1</v>
      </c>
      <c r="J20" s="3">
        <v>1</v>
      </c>
      <c r="K20" s="3">
        <v>1</v>
      </c>
      <c r="L20" s="3">
        <v>6</v>
      </c>
      <c r="M20" s="3"/>
      <c r="N20" s="3" t="s">
        <v>266</v>
      </c>
      <c r="O20" s="4">
        <v>45814</v>
      </c>
      <c r="P20" s="4">
        <v>45814</v>
      </c>
      <c r="Q20" s="3" t="s">
        <v>28</v>
      </c>
      <c r="R20" s="3" t="s">
        <v>47</v>
      </c>
      <c r="S20" s="4">
        <v>45820</v>
      </c>
    </row>
    <row r="21" spans="1:19" x14ac:dyDescent="0.2">
      <c r="A21" s="3">
        <v>7504</v>
      </c>
      <c r="B21" s="3" t="s">
        <v>63</v>
      </c>
      <c r="C21" s="3" t="s">
        <v>267</v>
      </c>
      <c r="D21" s="3" t="s">
        <v>126</v>
      </c>
      <c r="E21" s="3" t="s">
        <v>22</v>
      </c>
      <c r="F21" s="3" t="s">
        <v>44</v>
      </c>
      <c r="G21" s="3" t="s">
        <v>24</v>
      </c>
      <c r="H21" s="3" t="s">
        <v>66</v>
      </c>
      <c r="I21" s="3">
        <v>3</v>
      </c>
      <c r="J21" s="3">
        <v>1</v>
      </c>
      <c r="K21" s="3">
        <v>1</v>
      </c>
      <c r="L21" s="3">
        <v>8</v>
      </c>
      <c r="M21" s="3" t="s">
        <v>36</v>
      </c>
      <c r="N21" s="3" t="s">
        <v>268</v>
      </c>
      <c r="O21" s="4">
        <v>45815</v>
      </c>
      <c r="P21" s="4">
        <v>45896</v>
      </c>
      <c r="Q21" s="3" t="s">
        <v>28</v>
      </c>
      <c r="R21" s="3" t="s">
        <v>47</v>
      </c>
      <c r="S21" s="4">
        <v>45904</v>
      </c>
    </row>
    <row r="22" spans="1:19" x14ac:dyDescent="0.2">
      <c r="A22" s="3">
        <v>7505</v>
      </c>
      <c r="B22" s="3" t="s">
        <v>19</v>
      </c>
      <c r="C22" s="3" t="s">
        <v>269</v>
      </c>
      <c r="D22" s="3" t="s">
        <v>35</v>
      </c>
      <c r="E22" s="3" t="s">
        <v>22</v>
      </c>
      <c r="F22" s="3" t="s">
        <v>229</v>
      </c>
      <c r="G22" s="3" t="s">
        <v>24</v>
      </c>
      <c r="H22" s="3" t="s">
        <v>25</v>
      </c>
      <c r="I22" s="3">
        <v>2</v>
      </c>
      <c r="J22" s="3">
        <v>1</v>
      </c>
      <c r="K22" s="3">
        <v>1</v>
      </c>
      <c r="L22" s="3">
        <v>5</v>
      </c>
      <c r="M22" s="3" t="s">
        <v>38</v>
      </c>
      <c r="N22" s="3" t="s">
        <v>270</v>
      </c>
      <c r="O22" s="4">
        <v>45817</v>
      </c>
      <c r="P22" s="4">
        <v>45819</v>
      </c>
      <c r="Q22" s="3" t="s">
        <v>28</v>
      </c>
      <c r="R22" s="3" t="s">
        <v>24</v>
      </c>
      <c r="S22" s="4">
        <v>45824</v>
      </c>
    </row>
    <row r="23" spans="1:19" x14ac:dyDescent="0.2">
      <c r="A23" s="3">
        <v>7506</v>
      </c>
      <c r="B23" s="3" t="s">
        <v>271</v>
      </c>
      <c r="C23" s="3" t="s">
        <v>272</v>
      </c>
      <c r="D23" s="3" t="s">
        <v>180</v>
      </c>
      <c r="E23" s="3" t="s">
        <v>22</v>
      </c>
      <c r="F23" s="3"/>
      <c r="G23" s="3" t="s">
        <v>24</v>
      </c>
      <c r="H23" s="3" t="s">
        <v>273</v>
      </c>
      <c r="I23" s="3">
        <v>1</v>
      </c>
      <c r="J23" s="3">
        <v>1</v>
      </c>
      <c r="K23" s="3">
        <v>1</v>
      </c>
      <c r="L23" s="3">
        <v>0</v>
      </c>
      <c r="M23" s="3" t="s">
        <v>108</v>
      </c>
      <c r="N23" s="3" t="s">
        <v>274</v>
      </c>
      <c r="O23" s="4">
        <v>45817</v>
      </c>
      <c r="P23" s="4">
        <v>45818</v>
      </c>
      <c r="Q23" s="3" t="s">
        <v>41</v>
      </c>
      <c r="R23" s="3" t="s">
        <v>24</v>
      </c>
      <c r="S23" s="4">
        <v>45818</v>
      </c>
    </row>
    <row r="24" spans="1:19" x14ac:dyDescent="0.2">
      <c r="A24" s="3">
        <v>7507</v>
      </c>
      <c r="B24" s="3" t="s">
        <v>76</v>
      </c>
      <c r="C24" s="3" t="s">
        <v>275</v>
      </c>
      <c r="D24" s="3" t="s">
        <v>276</v>
      </c>
      <c r="E24" s="3" t="s">
        <v>22</v>
      </c>
      <c r="F24" s="3" t="s">
        <v>70</v>
      </c>
      <c r="G24" s="3" t="s">
        <v>24</v>
      </c>
      <c r="H24" s="3" t="s">
        <v>66</v>
      </c>
      <c r="I24" s="3">
        <v>1</v>
      </c>
      <c r="J24" s="3">
        <v>1</v>
      </c>
      <c r="K24" s="3">
        <v>1</v>
      </c>
      <c r="L24" s="3">
        <v>0</v>
      </c>
      <c r="M24" s="3" t="s">
        <v>36</v>
      </c>
      <c r="N24" s="3" t="s">
        <v>277</v>
      </c>
      <c r="O24" s="4">
        <v>45817</v>
      </c>
      <c r="P24" s="4">
        <v>45817</v>
      </c>
      <c r="Q24" s="3" t="s">
        <v>34</v>
      </c>
      <c r="R24" s="3" t="s">
        <v>24</v>
      </c>
      <c r="S24" s="4">
        <v>45817</v>
      </c>
    </row>
    <row r="25" spans="1:19" x14ac:dyDescent="0.2">
      <c r="A25" s="3">
        <v>7509</v>
      </c>
      <c r="B25" s="3" t="s">
        <v>80</v>
      </c>
      <c r="C25" s="3" t="s">
        <v>278</v>
      </c>
      <c r="D25" s="3" t="s">
        <v>89</v>
      </c>
      <c r="E25" s="3" t="s">
        <v>161</v>
      </c>
      <c r="F25" s="3" t="s">
        <v>44</v>
      </c>
      <c r="G25" s="3" t="s">
        <v>24</v>
      </c>
      <c r="H25" s="3" t="s">
        <v>25</v>
      </c>
      <c r="I25" s="3">
        <v>6</v>
      </c>
      <c r="J25" s="3">
        <v>0</v>
      </c>
      <c r="K25" s="3">
        <v>0</v>
      </c>
      <c r="L25" s="3">
        <v>76</v>
      </c>
      <c r="M25" s="3" t="s">
        <v>60</v>
      </c>
      <c r="N25" s="3" t="s">
        <v>279</v>
      </c>
      <c r="O25" s="4">
        <v>45817</v>
      </c>
      <c r="P25" s="4">
        <v>45818</v>
      </c>
      <c r="Q25" s="3" t="s">
        <v>28</v>
      </c>
      <c r="R25" s="3" t="s">
        <v>47</v>
      </c>
      <c r="S25" s="4">
        <v>45894</v>
      </c>
    </row>
    <row r="26" spans="1:19" x14ac:dyDescent="0.2">
      <c r="A26" s="3">
        <v>7510</v>
      </c>
      <c r="B26" s="3" t="s">
        <v>76</v>
      </c>
      <c r="C26" s="3" t="s">
        <v>77</v>
      </c>
      <c r="D26" s="3" t="s">
        <v>145</v>
      </c>
      <c r="E26" s="3" t="s">
        <v>61</v>
      </c>
      <c r="F26" s="3" t="s">
        <v>280</v>
      </c>
      <c r="G26" s="3" t="s">
        <v>24</v>
      </c>
      <c r="H26" s="3" t="s">
        <v>66</v>
      </c>
      <c r="I26" s="3">
        <v>2</v>
      </c>
      <c r="J26" s="3">
        <v>0</v>
      </c>
      <c r="K26" s="3">
        <v>0</v>
      </c>
      <c r="L26" s="3">
        <v>33</v>
      </c>
      <c r="M26" s="3" t="s">
        <v>36</v>
      </c>
      <c r="N26" s="3" t="s">
        <v>281</v>
      </c>
      <c r="O26" s="4">
        <v>45818</v>
      </c>
      <c r="P26" s="4">
        <v>45819</v>
      </c>
      <c r="Q26" s="3" t="s">
        <v>28</v>
      </c>
      <c r="R26" s="3" t="s">
        <v>47</v>
      </c>
      <c r="S26" s="4">
        <v>45852</v>
      </c>
    </row>
    <row r="27" spans="1:19" x14ac:dyDescent="0.2">
      <c r="A27" s="3">
        <v>7513</v>
      </c>
      <c r="B27" s="3" t="s">
        <v>175</v>
      </c>
      <c r="C27" s="3" t="s">
        <v>176</v>
      </c>
      <c r="D27" s="3" t="s">
        <v>180</v>
      </c>
      <c r="E27" s="3" t="s">
        <v>22</v>
      </c>
      <c r="F27" s="3" t="s">
        <v>107</v>
      </c>
      <c r="G27" s="3" t="s">
        <v>24</v>
      </c>
      <c r="H27" s="3" t="s">
        <v>178</v>
      </c>
      <c r="I27" s="3">
        <v>1</v>
      </c>
      <c r="J27" s="3">
        <v>1</v>
      </c>
      <c r="K27" s="3">
        <v>1</v>
      </c>
      <c r="L27" s="3">
        <v>0</v>
      </c>
      <c r="M27" s="3" t="s">
        <v>108</v>
      </c>
      <c r="N27" s="3" t="s">
        <v>179</v>
      </c>
      <c r="O27" s="4">
        <v>45818</v>
      </c>
      <c r="P27" s="4">
        <v>45827</v>
      </c>
      <c r="Q27" s="3" t="s">
        <v>34</v>
      </c>
      <c r="R27" s="3" t="s">
        <v>24</v>
      </c>
      <c r="S27" s="4">
        <v>45827</v>
      </c>
    </row>
    <row r="28" spans="1:19" x14ac:dyDescent="0.2">
      <c r="A28" s="3">
        <v>7515</v>
      </c>
      <c r="B28" s="3" t="s">
        <v>175</v>
      </c>
      <c r="C28" s="3" t="s">
        <v>282</v>
      </c>
      <c r="D28" s="3" t="s">
        <v>145</v>
      </c>
      <c r="E28" s="3" t="s">
        <v>22</v>
      </c>
      <c r="F28" s="3"/>
      <c r="G28" s="3" t="s">
        <v>24</v>
      </c>
      <c r="H28" s="3" t="s">
        <v>178</v>
      </c>
      <c r="I28" s="3">
        <v>1</v>
      </c>
      <c r="J28" s="3">
        <v>1</v>
      </c>
      <c r="K28" s="3">
        <v>1</v>
      </c>
      <c r="L28" s="3">
        <v>8</v>
      </c>
      <c r="M28" s="3" t="s">
        <v>36</v>
      </c>
      <c r="N28" s="3" t="s">
        <v>283</v>
      </c>
      <c r="O28" s="4">
        <v>45818</v>
      </c>
      <c r="P28" s="4">
        <v>45834</v>
      </c>
      <c r="Q28" s="3" t="s">
        <v>41</v>
      </c>
      <c r="R28" s="3" t="s">
        <v>24</v>
      </c>
      <c r="S28" s="4">
        <v>45842</v>
      </c>
    </row>
    <row r="29" spans="1:19" x14ac:dyDescent="0.2">
      <c r="A29" s="3">
        <v>7516</v>
      </c>
      <c r="B29" s="3" t="s">
        <v>57</v>
      </c>
      <c r="C29" s="3" t="s">
        <v>157</v>
      </c>
      <c r="D29" s="3" t="s">
        <v>21</v>
      </c>
      <c r="E29" s="3" t="s">
        <v>22</v>
      </c>
      <c r="F29" s="3" t="s">
        <v>229</v>
      </c>
      <c r="G29" s="3" t="s">
        <v>24</v>
      </c>
      <c r="H29" s="3" t="s">
        <v>59</v>
      </c>
      <c r="I29" s="3">
        <v>1</v>
      </c>
      <c r="J29" s="3">
        <v>1</v>
      </c>
      <c r="K29" s="3">
        <v>1</v>
      </c>
      <c r="L29" s="3">
        <v>0</v>
      </c>
      <c r="M29" s="3" t="s">
        <v>36</v>
      </c>
      <c r="N29" s="3" t="s">
        <v>72</v>
      </c>
      <c r="O29" s="4">
        <v>45818</v>
      </c>
      <c r="P29" s="4">
        <v>45818</v>
      </c>
      <c r="Q29" s="3" t="s">
        <v>28</v>
      </c>
      <c r="R29" s="3" t="s">
        <v>47</v>
      </c>
      <c r="S29" s="4">
        <v>45818</v>
      </c>
    </row>
    <row r="30" spans="1:19" x14ac:dyDescent="0.2">
      <c r="A30" s="3">
        <v>7523</v>
      </c>
      <c r="B30" s="3" t="s">
        <v>175</v>
      </c>
      <c r="C30" s="3" t="s">
        <v>282</v>
      </c>
      <c r="D30" s="3" t="s">
        <v>98</v>
      </c>
      <c r="E30" s="3" t="s">
        <v>22</v>
      </c>
      <c r="F30" s="3"/>
      <c r="G30" s="3" t="s">
        <v>24</v>
      </c>
      <c r="H30" s="3" t="s">
        <v>178</v>
      </c>
      <c r="I30" s="3">
        <v>1</v>
      </c>
      <c r="J30" s="3">
        <v>1</v>
      </c>
      <c r="K30" s="3">
        <v>1</v>
      </c>
      <c r="L30" s="3">
        <v>0</v>
      </c>
      <c r="M30" s="3" t="s">
        <v>36</v>
      </c>
      <c r="N30" s="3" t="s">
        <v>284</v>
      </c>
      <c r="O30" s="4">
        <v>45819</v>
      </c>
      <c r="P30" s="4">
        <v>45832</v>
      </c>
      <c r="Q30" s="3" t="s">
        <v>28</v>
      </c>
      <c r="R30" s="3" t="s">
        <v>24</v>
      </c>
      <c r="S30" s="4">
        <v>45832</v>
      </c>
    </row>
    <row r="31" spans="1:19" x14ac:dyDescent="0.2">
      <c r="A31" s="3">
        <v>7524</v>
      </c>
      <c r="B31" s="3" t="s">
        <v>175</v>
      </c>
      <c r="C31" s="3" t="s">
        <v>176</v>
      </c>
      <c r="D31" s="3" t="s">
        <v>182</v>
      </c>
      <c r="E31" s="3" t="s">
        <v>22</v>
      </c>
      <c r="F31" s="3" t="s">
        <v>107</v>
      </c>
      <c r="G31" s="3" t="s">
        <v>24</v>
      </c>
      <c r="H31" s="3" t="s">
        <v>178</v>
      </c>
      <c r="I31" s="3">
        <v>1</v>
      </c>
      <c r="J31" s="3">
        <v>1</v>
      </c>
      <c r="K31" s="3">
        <v>1</v>
      </c>
      <c r="L31" s="3">
        <v>0</v>
      </c>
      <c r="M31" s="3" t="s">
        <v>36</v>
      </c>
      <c r="N31" s="3" t="s">
        <v>179</v>
      </c>
      <c r="O31" s="4">
        <v>45819</v>
      </c>
      <c r="P31" s="4">
        <v>45827</v>
      </c>
      <c r="Q31" s="3" t="s">
        <v>34</v>
      </c>
      <c r="R31" s="3" t="s">
        <v>24</v>
      </c>
      <c r="S31" s="4">
        <v>45827</v>
      </c>
    </row>
    <row r="32" spans="1:19" x14ac:dyDescent="0.2">
      <c r="A32" s="3">
        <v>7526</v>
      </c>
      <c r="B32" s="3" t="s">
        <v>175</v>
      </c>
      <c r="C32" s="3" t="s">
        <v>176</v>
      </c>
      <c r="D32" s="3" t="s">
        <v>276</v>
      </c>
      <c r="E32" s="3" t="s">
        <v>22</v>
      </c>
      <c r="F32" s="3"/>
      <c r="G32" s="3" t="s">
        <v>24</v>
      </c>
      <c r="H32" s="3" t="s">
        <v>178</v>
      </c>
      <c r="I32" s="3">
        <v>2</v>
      </c>
      <c r="J32" s="3">
        <v>1</v>
      </c>
      <c r="K32" s="3">
        <v>1</v>
      </c>
      <c r="L32" s="3">
        <v>0</v>
      </c>
      <c r="M32" s="3" t="s">
        <v>36</v>
      </c>
      <c r="N32" s="3" t="s">
        <v>285</v>
      </c>
      <c r="O32" s="4">
        <v>45819</v>
      </c>
      <c r="P32" s="4">
        <v>45849</v>
      </c>
      <c r="Q32" s="3" t="s">
        <v>41</v>
      </c>
      <c r="R32" s="3" t="s">
        <v>24</v>
      </c>
      <c r="S32" s="4">
        <v>45849</v>
      </c>
    </row>
    <row r="33" spans="1:19" x14ac:dyDescent="0.2">
      <c r="A33" s="3">
        <v>7527</v>
      </c>
      <c r="B33" s="3" t="s">
        <v>175</v>
      </c>
      <c r="C33" s="3" t="s">
        <v>176</v>
      </c>
      <c r="D33" s="3" t="s">
        <v>21</v>
      </c>
      <c r="E33" s="3" t="s">
        <v>22</v>
      </c>
      <c r="F33" s="3"/>
      <c r="G33" s="3" t="s">
        <v>24</v>
      </c>
      <c r="H33" s="3" t="s">
        <v>178</v>
      </c>
      <c r="I33" s="3">
        <v>1</v>
      </c>
      <c r="J33" s="3">
        <v>1</v>
      </c>
      <c r="K33" s="3">
        <v>1</v>
      </c>
      <c r="L33" s="3">
        <v>32</v>
      </c>
      <c r="M33" s="3" t="s">
        <v>36</v>
      </c>
      <c r="N33" s="3" t="s">
        <v>285</v>
      </c>
      <c r="O33" s="4">
        <v>45819</v>
      </c>
      <c r="P33" s="4">
        <v>45821</v>
      </c>
      <c r="Q33" s="3" t="s">
        <v>41</v>
      </c>
      <c r="R33" s="3" t="s">
        <v>24</v>
      </c>
      <c r="S33" s="4">
        <v>45853</v>
      </c>
    </row>
    <row r="34" spans="1:19" x14ac:dyDescent="0.2">
      <c r="A34" s="3">
        <v>7529</v>
      </c>
      <c r="B34" s="3" t="s">
        <v>175</v>
      </c>
      <c r="C34" s="3" t="s">
        <v>176</v>
      </c>
      <c r="D34" s="3" t="s">
        <v>183</v>
      </c>
      <c r="E34" s="3" t="s">
        <v>22</v>
      </c>
      <c r="F34" s="3" t="s">
        <v>107</v>
      </c>
      <c r="G34" s="3" t="s">
        <v>24</v>
      </c>
      <c r="H34" s="3" t="s">
        <v>178</v>
      </c>
      <c r="I34" s="3">
        <v>1</v>
      </c>
      <c r="J34" s="3">
        <v>1</v>
      </c>
      <c r="K34" s="3">
        <v>1</v>
      </c>
      <c r="L34" s="3">
        <v>0</v>
      </c>
      <c r="M34" s="3" t="s">
        <v>36</v>
      </c>
      <c r="N34" s="3" t="s">
        <v>179</v>
      </c>
      <c r="O34" s="4">
        <v>45819</v>
      </c>
      <c r="P34" s="4">
        <v>45827</v>
      </c>
      <c r="Q34" s="3" t="s">
        <v>34</v>
      </c>
      <c r="R34" s="3" t="s">
        <v>24</v>
      </c>
      <c r="S34" s="4">
        <v>45827</v>
      </c>
    </row>
    <row r="35" spans="1:19" x14ac:dyDescent="0.2">
      <c r="A35" s="3">
        <v>7530</v>
      </c>
      <c r="B35" s="3" t="s">
        <v>80</v>
      </c>
      <c r="C35" s="3" t="s">
        <v>286</v>
      </c>
      <c r="D35" s="3" t="s">
        <v>35</v>
      </c>
      <c r="E35" s="3" t="s">
        <v>22</v>
      </c>
      <c r="F35" s="3" t="s">
        <v>44</v>
      </c>
      <c r="G35" s="3" t="s">
        <v>24</v>
      </c>
      <c r="H35" s="3" t="s">
        <v>25</v>
      </c>
      <c r="I35" s="3">
        <v>6</v>
      </c>
      <c r="J35" s="3">
        <v>1</v>
      </c>
      <c r="K35" s="3">
        <v>1</v>
      </c>
      <c r="L35" s="3">
        <v>36</v>
      </c>
      <c r="M35" s="3" t="s">
        <v>60</v>
      </c>
      <c r="N35" s="3" t="s">
        <v>279</v>
      </c>
      <c r="O35" s="4">
        <v>45819</v>
      </c>
      <c r="P35" s="4">
        <v>45820</v>
      </c>
      <c r="Q35" s="3" t="s">
        <v>28</v>
      </c>
      <c r="R35" s="3" t="s">
        <v>47</v>
      </c>
      <c r="S35" s="4">
        <v>45856</v>
      </c>
    </row>
    <row r="36" spans="1:19" x14ac:dyDescent="0.2">
      <c r="A36" s="3">
        <v>7533</v>
      </c>
      <c r="B36" s="3" t="s">
        <v>76</v>
      </c>
      <c r="C36" s="3" t="s">
        <v>275</v>
      </c>
      <c r="D36" s="3" t="s">
        <v>94</v>
      </c>
      <c r="E36" s="3" t="s">
        <v>161</v>
      </c>
      <c r="F36" s="3" t="s">
        <v>44</v>
      </c>
      <c r="G36" s="3" t="s">
        <v>24</v>
      </c>
      <c r="H36" s="3" t="s">
        <v>66</v>
      </c>
      <c r="I36" s="3">
        <v>1</v>
      </c>
      <c r="J36" s="3">
        <v>0</v>
      </c>
      <c r="K36" s="3">
        <v>0</v>
      </c>
      <c r="L36" s="3">
        <v>39</v>
      </c>
      <c r="M36" s="3" t="s">
        <v>36</v>
      </c>
      <c r="N36" s="3" t="s">
        <v>287</v>
      </c>
      <c r="O36" s="4">
        <v>45819</v>
      </c>
      <c r="P36" s="4">
        <v>45827</v>
      </c>
      <c r="Q36" s="3" t="s">
        <v>28</v>
      </c>
      <c r="R36" s="3" t="s">
        <v>24</v>
      </c>
      <c r="S36" s="4">
        <v>45866</v>
      </c>
    </row>
    <row r="37" spans="1:19" x14ac:dyDescent="0.2">
      <c r="A37" s="3">
        <v>7534</v>
      </c>
      <c r="B37" s="3" t="s">
        <v>63</v>
      </c>
      <c r="C37" s="3" t="s">
        <v>267</v>
      </c>
      <c r="D37" s="3" t="s">
        <v>126</v>
      </c>
      <c r="E37" s="3" t="s">
        <v>161</v>
      </c>
      <c r="F37" s="3" t="s">
        <v>44</v>
      </c>
      <c r="G37" s="3" t="s">
        <v>24</v>
      </c>
      <c r="H37" s="3" t="s">
        <v>66</v>
      </c>
      <c r="I37" s="3">
        <v>3</v>
      </c>
      <c r="J37" s="3">
        <v>0</v>
      </c>
      <c r="K37" s="3">
        <v>0</v>
      </c>
      <c r="L37" s="3">
        <v>40</v>
      </c>
      <c r="M37" s="3" t="s">
        <v>36</v>
      </c>
      <c r="N37" s="3" t="s">
        <v>288</v>
      </c>
      <c r="O37" s="4">
        <v>45820</v>
      </c>
      <c r="P37" s="4">
        <v>45827</v>
      </c>
      <c r="Q37" s="3" t="s">
        <v>28</v>
      </c>
      <c r="R37" s="3" t="s">
        <v>24</v>
      </c>
      <c r="S37" s="4">
        <v>45867</v>
      </c>
    </row>
    <row r="38" spans="1:19" x14ac:dyDescent="0.2">
      <c r="A38" s="3">
        <v>7535</v>
      </c>
      <c r="B38" s="3" t="s">
        <v>63</v>
      </c>
      <c r="C38" s="3" t="s">
        <v>289</v>
      </c>
      <c r="D38" s="3" t="s">
        <v>126</v>
      </c>
      <c r="E38" s="3" t="s">
        <v>22</v>
      </c>
      <c r="F38" s="3" t="s">
        <v>44</v>
      </c>
      <c r="G38" s="3" t="s">
        <v>24</v>
      </c>
      <c r="H38" s="3" t="s">
        <v>66</v>
      </c>
      <c r="I38" s="3">
        <v>3</v>
      </c>
      <c r="J38" s="3">
        <v>1</v>
      </c>
      <c r="K38" s="3">
        <v>1</v>
      </c>
      <c r="L38" s="3">
        <v>7</v>
      </c>
      <c r="M38" s="3" t="s">
        <v>36</v>
      </c>
      <c r="N38" s="3" t="s">
        <v>288</v>
      </c>
      <c r="O38" s="4">
        <v>45820</v>
      </c>
      <c r="P38" s="4">
        <v>45853</v>
      </c>
      <c r="Q38" s="3" t="s">
        <v>28</v>
      </c>
      <c r="R38" s="3" t="s">
        <v>24</v>
      </c>
      <c r="S38" s="4">
        <v>45860</v>
      </c>
    </row>
    <row r="39" spans="1:19" x14ac:dyDescent="0.2">
      <c r="A39" s="3">
        <v>7536</v>
      </c>
      <c r="B39" s="3" t="s">
        <v>175</v>
      </c>
      <c r="C39" s="3" t="s">
        <v>176</v>
      </c>
      <c r="D39" s="3" t="s">
        <v>182</v>
      </c>
      <c r="E39" s="3" t="s">
        <v>22</v>
      </c>
      <c r="F39" s="3" t="s">
        <v>107</v>
      </c>
      <c r="G39" s="3" t="s">
        <v>24</v>
      </c>
      <c r="H39" s="3" t="s">
        <v>178</v>
      </c>
      <c r="I39" s="3">
        <v>1</v>
      </c>
      <c r="J39" s="3">
        <v>1</v>
      </c>
      <c r="K39" s="3">
        <v>1</v>
      </c>
      <c r="L39" s="3">
        <v>0</v>
      </c>
      <c r="M39" s="3" t="s">
        <v>26</v>
      </c>
      <c r="N39" s="3" t="s">
        <v>179</v>
      </c>
      <c r="O39" s="4">
        <v>45820</v>
      </c>
      <c r="P39" s="4">
        <v>45827</v>
      </c>
      <c r="Q39" s="3" t="s">
        <v>34</v>
      </c>
      <c r="R39" s="3" t="s">
        <v>24</v>
      </c>
      <c r="S39" s="4">
        <v>45827</v>
      </c>
    </row>
    <row r="40" spans="1:19" x14ac:dyDescent="0.2">
      <c r="A40" s="3">
        <v>7537</v>
      </c>
      <c r="B40" s="3" t="s">
        <v>175</v>
      </c>
      <c r="C40" s="3" t="s">
        <v>282</v>
      </c>
      <c r="D40" s="3" t="s">
        <v>98</v>
      </c>
      <c r="E40" s="3" t="s">
        <v>22</v>
      </c>
      <c r="F40" s="3"/>
      <c r="G40" s="3" t="s">
        <v>24</v>
      </c>
      <c r="H40" s="3" t="s">
        <v>178</v>
      </c>
      <c r="I40" s="3">
        <v>1</v>
      </c>
      <c r="J40" s="3">
        <v>1</v>
      </c>
      <c r="K40" s="3">
        <v>1</v>
      </c>
      <c r="L40" s="3">
        <v>24</v>
      </c>
      <c r="M40" s="3" t="s">
        <v>26</v>
      </c>
      <c r="N40" s="3" t="s">
        <v>284</v>
      </c>
      <c r="O40" s="4">
        <v>45820</v>
      </c>
      <c r="P40" s="4">
        <v>45825</v>
      </c>
      <c r="Q40" s="3" t="s">
        <v>41</v>
      </c>
      <c r="R40" s="3" t="s">
        <v>24</v>
      </c>
      <c r="S40" s="4">
        <v>45849</v>
      </c>
    </row>
    <row r="41" spans="1:19" x14ac:dyDescent="0.2">
      <c r="A41" s="3">
        <v>7538</v>
      </c>
      <c r="B41" s="3" t="s">
        <v>175</v>
      </c>
      <c r="C41" s="3" t="s">
        <v>282</v>
      </c>
      <c r="D41" s="3" t="s">
        <v>145</v>
      </c>
      <c r="E41" s="3" t="s">
        <v>22</v>
      </c>
      <c r="F41" s="3"/>
      <c r="G41" s="3" t="s">
        <v>24</v>
      </c>
      <c r="H41" s="3" t="s">
        <v>178</v>
      </c>
      <c r="I41" s="3">
        <v>1</v>
      </c>
      <c r="J41" s="3">
        <v>1</v>
      </c>
      <c r="K41" s="3">
        <v>1</v>
      </c>
      <c r="L41" s="3">
        <v>0</v>
      </c>
      <c r="M41" s="3" t="s">
        <v>36</v>
      </c>
      <c r="N41" s="3" t="s">
        <v>283</v>
      </c>
      <c r="O41" s="4">
        <v>45820</v>
      </c>
      <c r="P41" s="4">
        <v>45834</v>
      </c>
      <c r="Q41" s="3" t="s">
        <v>41</v>
      </c>
      <c r="R41" s="3" t="s">
        <v>24</v>
      </c>
      <c r="S41" s="4">
        <v>45834</v>
      </c>
    </row>
    <row r="42" spans="1:19" x14ac:dyDescent="0.2">
      <c r="A42" s="3">
        <v>7539</v>
      </c>
      <c r="B42" s="3" t="s">
        <v>175</v>
      </c>
      <c r="C42" s="3" t="s">
        <v>176</v>
      </c>
      <c r="D42" s="3" t="s">
        <v>35</v>
      </c>
      <c r="E42" s="3" t="s">
        <v>22</v>
      </c>
      <c r="F42" s="3"/>
      <c r="G42" s="3" t="s">
        <v>24</v>
      </c>
      <c r="H42" s="3" t="s">
        <v>178</v>
      </c>
      <c r="I42" s="3">
        <v>1</v>
      </c>
      <c r="J42" s="3">
        <v>1</v>
      </c>
      <c r="K42" s="3">
        <v>1</v>
      </c>
      <c r="L42" s="3">
        <v>26</v>
      </c>
      <c r="M42" s="3" t="s">
        <v>36</v>
      </c>
      <c r="N42" s="3" t="s">
        <v>285</v>
      </c>
      <c r="O42" s="4">
        <v>45820</v>
      </c>
      <c r="P42" s="4">
        <v>45820</v>
      </c>
      <c r="Q42" s="3" t="s">
        <v>34</v>
      </c>
      <c r="R42" s="3" t="s">
        <v>24</v>
      </c>
      <c r="S42" s="4">
        <v>45846</v>
      </c>
    </row>
    <row r="43" spans="1:19" x14ac:dyDescent="0.2">
      <c r="A43" s="3">
        <v>7540</v>
      </c>
      <c r="B43" s="3" t="s">
        <v>19</v>
      </c>
      <c r="C43" s="3" t="s">
        <v>290</v>
      </c>
      <c r="D43" s="3" t="s">
        <v>31</v>
      </c>
      <c r="E43" s="3" t="s">
        <v>61</v>
      </c>
      <c r="F43" s="3" t="s">
        <v>23</v>
      </c>
      <c r="G43" s="3" t="s">
        <v>24</v>
      </c>
      <c r="H43" s="3" t="s">
        <v>25</v>
      </c>
      <c r="I43" s="3">
        <v>7</v>
      </c>
      <c r="J43" s="3">
        <v>0</v>
      </c>
      <c r="K43" s="3">
        <v>0</v>
      </c>
      <c r="L43" s="3">
        <v>32</v>
      </c>
      <c r="M43" s="3" t="s">
        <v>38</v>
      </c>
      <c r="N43" s="3" t="s">
        <v>291</v>
      </c>
      <c r="O43" s="4">
        <v>45820</v>
      </c>
      <c r="P43" s="4">
        <v>45820</v>
      </c>
      <c r="Q43" s="3" t="s">
        <v>28</v>
      </c>
      <c r="R43" s="3" t="s">
        <v>24</v>
      </c>
      <c r="S43" s="4">
        <v>45852</v>
      </c>
    </row>
    <row r="44" spans="1:19" x14ac:dyDescent="0.2">
      <c r="A44" s="3">
        <v>7541</v>
      </c>
      <c r="B44" s="3" t="s">
        <v>19</v>
      </c>
      <c r="C44" s="3" t="s">
        <v>269</v>
      </c>
      <c r="D44" s="3" t="s">
        <v>31</v>
      </c>
      <c r="E44" s="3" t="s">
        <v>61</v>
      </c>
      <c r="F44" s="3" t="s">
        <v>23</v>
      </c>
      <c r="G44" s="3" t="s">
        <v>24</v>
      </c>
      <c r="H44" s="3" t="s">
        <v>25</v>
      </c>
      <c r="I44" s="3">
        <v>5</v>
      </c>
      <c r="J44" s="3">
        <v>0</v>
      </c>
      <c r="K44" s="3">
        <v>0</v>
      </c>
      <c r="L44" s="3">
        <v>26</v>
      </c>
      <c r="M44" s="3" t="s">
        <v>38</v>
      </c>
      <c r="N44" s="3" t="s">
        <v>291</v>
      </c>
      <c r="O44" s="4">
        <v>45820</v>
      </c>
      <c r="P44" s="4">
        <v>45820</v>
      </c>
      <c r="Q44" s="3" t="s">
        <v>28</v>
      </c>
      <c r="R44" s="3" t="s">
        <v>24</v>
      </c>
      <c r="S44" s="4">
        <v>45846</v>
      </c>
    </row>
    <row r="45" spans="1:19" x14ac:dyDescent="0.2">
      <c r="A45" s="3">
        <v>7542</v>
      </c>
      <c r="B45" s="3" t="s">
        <v>19</v>
      </c>
      <c r="C45" s="3" t="s">
        <v>269</v>
      </c>
      <c r="D45" s="3" t="s">
        <v>31</v>
      </c>
      <c r="E45" s="3" t="s">
        <v>61</v>
      </c>
      <c r="F45" s="3" t="s">
        <v>23</v>
      </c>
      <c r="G45" s="3" t="s">
        <v>24</v>
      </c>
      <c r="H45" s="3" t="s">
        <v>25</v>
      </c>
      <c r="I45" s="3">
        <v>6</v>
      </c>
      <c r="J45" s="3">
        <v>0</v>
      </c>
      <c r="K45" s="3">
        <v>0</v>
      </c>
      <c r="L45" s="3">
        <v>26</v>
      </c>
      <c r="M45" s="3" t="s">
        <v>38</v>
      </c>
      <c r="N45" s="3" t="s">
        <v>291</v>
      </c>
      <c r="O45" s="4">
        <v>45820</v>
      </c>
      <c r="P45" s="4">
        <v>45820</v>
      </c>
      <c r="Q45" s="3" t="s">
        <v>28</v>
      </c>
      <c r="R45" s="3" t="s">
        <v>24</v>
      </c>
      <c r="S45" s="4">
        <v>45846</v>
      </c>
    </row>
    <row r="46" spans="1:19" x14ac:dyDescent="0.2">
      <c r="A46" s="3">
        <v>7544</v>
      </c>
      <c r="B46" s="3" t="s">
        <v>63</v>
      </c>
      <c r="C46" s="3" t="s">
        <v>204</v>
      </c>
      <c r="D46" s="3" t="s">
        <v>74</v>
      </c>
      <c r="E46" s="3" t="s">
        <v>61</v>
      </c>
      <c r="F46" s="3" t="s">
        <v>44</v>
      </c>
      <c r="G46" s="3" t="s">
        <v>24</v>
      </c>
      <c r="H46" s="3" t="s">
        <v>66</v>
      </c>
      <c r="I46" s="3">
        <v>2</v>
      </c>
      <c r="J46" s="3">
        <v>0</v>
      </c>
      <c r="K46" s="3">
        <v>0</v>
      </c>
      <c r="L46" s="3">
        <v>14</v>
      </c>
      <c r="M46" s="3" t="s">
        <v>36</v>
      </c>
      <c r="N46" s="3" t="s">
        <v>292</v>
      </c>
      <c r="O46" s="4">
        <v>45820</v>
      </c>
      <c r="P46" s="4">
        <v>45826</v>
      </c>
      <c r="Q46" s="3" t="s">
        <v>28</v>
      </c>
      <c r="R46" s="3" t="s">
        <v>24</v>
      </c>
      <c r="S46" s="4">
        <v>45840</v>
      </c>
    </row>
    <row r="47" spans="1:19" x14ac:dyDescent="0.2">
      <c r="A47" s="3">
        <v>7545</v>
      </c>
      <c r="B47" s="3" t="s">
        <v>19</v>
      </c>
      <c r="C47" s="3" t="s">
        <v>293</v>
      </c>
      <c r="D47" s="3" t="s">
        <v>31</v>
      </c>
      <c r="E47" s="3" t="s">
        <v>22</v>
      </c>
      <c r="F47" s="3" t="s">
        <v>23</v>
      </c>
      <c r="G47" s="3" t="s">
        <v>24</v>
      </c>
      <c r="H47" s="3" t="s">
        <v>25</v>
      </c>
      <c r="I47" s="3">
        <v>4</v>
      </c>
      <c r="J47" s="3">
        <v>1</v>
      </c>
      <c r="K47" s="3">
        <v>1</v>
      </c>
      <c r="L47" s="3">
        <v>8</v>
      </c>
      <c r="M47" s="3" t="s">
        <v>38</v>
      </c>
      <c r="N47" s="3" t="s">
        <v>291</v>
      </c>
      <c r="O47" s="4">
        <v>45821</v>
      </c>
      <c r="P47" s="4">
        <v>45831</v>
      </c>
      <c r="Q47" s="3" t="s">
        <v>28</v>
      </c>
      <c r="R47" s="3" t="s">
        <v>24</v>
      </c>
      <c r="S47" s="4">
        <v>45839</v>
      </c>
    </row>
    <row r="48" spans="1:19" x14ac:dyDescent="0.2">
      <c r="A48" s="3">
        <v>7546</v>
      </c>
      <c r="B48" s="3" t="s">
        <v>19</v>
      </c>
      <c r="C48" s="3" t="s">
        <v>290</v>
      </c>
      <c r="D48" s="3" t="s">
        <v>31</v>
      </c>
      <c r="E48" s="3" t="s">
        <v>61</v>
      </c>
      <c r="F48" s="3" t="s">
        <v>23</v>
      </c>
      <c r="G48" s="3" t="s">
        <v>24</v>
      </c>
      <c r="H48" s="3" t="s">
        <v>25</v>
      </c>
      <c r="I48" s="3">
        <v>6</v>
      </c>
      <c r="J48" s="3">
        <v>0</v>
      </c>
      <c r="K48" s="3">
        <v>0</v>
      </c>
      <c r="L48" s="3">
        <v>21</v>
      </c>
      <c r="M48" s="3" t="s">
        <v>38</v>
      </c>
      <c r="N48" s="3" t="s">
        <v>291</v>
      </c>
      <c r="O48" s="4">
        <v>45821</v>
      </c>
      <c r="P48" s="4">
        <v>45831</v>
      </c>
      <c r="Q48" s="3" t="s">
        <v>28</v>
      </c>
      <c r="R48" s="3" t="s">
        <v>24</v>
      </c>
      <c r="S48" s="4">
        <v>45852</v>
      </c>
    </row>
    <row r="49" spans="1:19" x14ac:dyDescent="0.2">
      <c r="A49" s="3">
        <v>7548</v>
      </c>
      <c r="B49" s="3" t="s">
        <v>19</v>
      </c>
      <c r="C49" s="3" t="s">
        <v>290</v>
      </c>
      <c r="D49" s="3" t="s">
        <v>31</v>
      </c>
      <c r="E49" s="3" t="s">
        <v>61</v>
      </c>
      <c r="F49" s="3" t="s">
        <v>23</v>
      </c>
      <c r="G49" s="3" t="s">
        <v>24</v>
      </c>
      <c r="H49" s="3" t="s">
        <v>25</v>
      </c>
      <c r="I49" s="3">
        <v>7</v>
      </c>
      <c r="J49" s="3">
        <v>0</v>
      </c>
      <c r="K49" s="3">
        <v>0</v>
      </c>
      <c r="L49" s="3">
        <v>23</v>
      </c>
      <c r="M49" s="3" t="s">
        <v>215</v>
      </c>
      <c r="N49" s="3" t="s">
        <v>294</v>
      </c>
      <c r="O49" s="4">
        <v>45821</v>
      </c>
      <c r="P49" s="4">
        <v>45831</v>
      </c>
      <c r="Q49" s="3" t="s">
        <v>28</v>
      </c>
      <c r="R49" s="3" t="s">
        <v>24</v>
      </c>
      <c r="S49" s="4">
        <v>45854</v>
      </c>
    </row>
    <row r="50" spans="1:19" x14ac:dyDescent="0.2">
      <c r="A50" s="3">
        <v>7550</v>
      </c>
      <c r="B50" s="3" t="s">
        <v>295</v>
      </c>
      <c r="C50" s="3" t="s">
        <v>112</v>
      </c>
      <c r="D50" s="3" t="s">
        <v>106</v>
      </c>
      <c r="E50" s="3" t="s">
        <v>22</v>
      </c>
      <c r="F50" s="3" t="s">
        <v>177</v>
      </c>
      <c r="G50" s="3" t="s">
        <v>24</v>
      </c>
      <c r="H50" s="3" t="s">
        <v>112</v>
      </c>
      <c r="I50" s="3">
        <v>1</v>
      </c>
      <c r="J50" s="3">
        <v>1</v>
      </c>
      <c r="K50" s="3">
        <v>1</v>
      </c>
      <c r="L50" s="3">
        <v>0</v>
      </c>
      <c r="M50" s="3" t="s">
        <v>26</v>
      </c>
      <c r="N50" s="3" t="s">
        <v>109</v>
      </c>
      <c r="O50" s="4">
        <v>45824</v>
      </c>
      <c r="P50" s="4">
        <v>45825</v>
      </c>
      <c r="Q50" s="3" t="s">
        <v>34</v>
      </c>
      <c r="R50" s="3" t="s">
        <v>24</v>
      </c>
      <c r="S50" s="4">
        <v>45825</v>
      </c>
    </row>
    <row r="51" spans="1:19" x14ac:dyDescent="0.2">
      <c r="A51" s="3">
        <v>7551</v>
      </c>
      <c r="B51" s="3" t="s">
        <v>295</v>
      </c>
      <c r="C51" s="3" t="s">
        <v>112</v>
      </c>
      <c r="D51" s="3" t="s">
        <v>54</v>
      </c>
      <c r="E51" s="3" t="s">
        <v>22</v>
      </c>
      <c r="F51" s="3" t="s">
        <v>107</v>
      </c>
      <c r="G51" s="3" t="s">
        <v>24</v>
      </c>
      <c r="H51" s="3" t="s">
        <v>112</v>
      </c>
      <c r="I51" s="3">
        <v>1</v>
      </c>
      <c r="J51" s="3">
        <v>1</v>
      </c>
      <c r="K51" s="3">
        <v>1</v>
      </c>
      <c r="L51" s="3">
        <v>0</v>
      </c>
      <c r="M51" s="3" t="s">
        <v>36</v>
      </c>
      <c r="N51" s="3" t="s">
        <v>109</v>
      </c>
      <c r="O51" s="4">
        <v>45824</v>
      </c>
      <c r="P51" s="4">
        <v>45825</v>
      </c>
      <c r="Q51" s="3" t="s">
        <v>34</v>
      </c>
      <c r="R51" s="3" t="s">
        <v>24</v>
      </c>
      <c r="S51" s="4">
        <v>45825</v>
      </c>
    </row>
    <row r="52" spans="1:19" x14ac:dyDescent="0.2">
      <c r="A52" s="3">
        <v>7552</v>
      </c>
      <c r="B52" s="3" t="s">
        <v>295</v>
      </c>
      <c r="C52" s="3" t="s">
        <v>112</v>
      </c>
      <c r="D52" s="3" t="s">
        <v>180</v>
      </c>
      <c r="E52" s="3" t="s">
        <v>22</v>
      </c>
      <c r="F52" s="3" t="s">
        <v>107</v>
      </c>
      <c r="G52" s="3" t="s">
        <v>24</v>
      </c>
      <c r="H52" s="3" t="s">
        <v>112</v>
      </c>
      <c r="I52" s="3">
        <v>1</v>
      </c>
      <c r="J52" s="3">
        <v>1</v>
      </c>
      <c r="K52" s="3">
        <v>1</v>
      </c>
      <c r="L52" s="3">
        <v>0</v>
      </c>
      <c r="M52" s="3" t="s">
        <v>36</v>
      </c>
      <c r="N52" s="3" t="s">
        <v>296</v>
      </c>
      <c r="O52" s="4">
        <v>45824</v>
      </c>
      <c r="P52" s="4">
        <v>45825</v>
      </c>
      <c r="Q52" s="3" t="s">
        <v>34</v>
      </c>
      <c r="R52" s="3" t="s">
        <v>24</v>
      </c>
      <c r="S52" s="4">
        <v>45825</v>
      </c>
    </row>
    <row r="53" spans="1:19" x14ac:dyDescent="0.2">
      <c r="A53" s="3">
        <v>7553</v>
      </c>
      <c r="B53" s="3" t="s">
        <v>295</v>
      </c>
      <c r="C53" s="3" t="s">
        <v>112</v>
      </c>
      <c r="D53" s="3" t="s">
        <v>183</v>
      </c>
      <c r="E53" s="3" t="s">
        <v>22</v>
      </c>
      <c r="F53" s="3" t="s">
        <v>238</v>
      </c>
      <c r="G53" s="3" t="s">
        <v>24</v>
      </c>
      <c r="H53" s="3" t="s">
        <v>112</v>
      </c>
      <c r="I53" s="3">
        <v>1</v>
      </c>
      <c r="J53" s="3">
        <v>1</v>
      </c>
      <c r="K53" s="3">
        <v>1</v>
      </c>
      <c r="L53" s="3">
        <v>0</v>
      </c>
      <c r="M53" s="3" t="s">
        <v>36</v>
      </c>
      <c r="N53" s="3" t="s">
        <v>297</v>
      </c>
      <c r="O53" s="4">
        <v>45824</v>
      </c>
      <c r="P53" s="4">
        <v>45825</v>
      </c>
      <c r="Q53" s="3" t="s">
        <v>34</v>
      </c>
      <c r="R53" s="3" t="s">
        <v>24</v>
      </c>
      <c r="S53" s="4">
        <v>45825</v>
      </c>
    </row>
    <row r="54" spans="1:19" x14ac:dyDescent="0.2">
      <c r="A54" s="3">
        <v>7556</v>
      </c>
      <c r="B54" s="3" t="s">
        <v>19</v>
      </c>
      <c r="C54" s="3" t="s">
        <v>269</v>
      </c>
      <c r="D54" s="3" t="s">
        <v>35</v>
      </c>
      <c r="E54" s="3" t="s">
        <v>22</v>
      </c>
      <c r="F54" s="3" t="s">
        <v>23</v>
      </c>
      <c r="G54" s="3" t="s">
        <v>24</v>
      </c>
      <c r="H54" s="3" t="s">
        <v>25</v>
      </c>
      <c r="I54" s="3">
        <v>1</v>
      </c>
      <c r="J54" s="3">
        <v>1</v>
      </c>
      <c r="K54" s="3">
        <v>1</v>
      </c>
      <c r="L54" s="3">
        <v>0</v>
      </c>
      <c r="M54" s="3" t="s">
        <v>38</v>
      </c>
      <c r="N54" s="3" t="s">
        <v>270</v>
      </c>
      <c r="O54" s="4">
        <v>45824</v>
      </c>
      <c r="P54" s="4">
        <v>45824</v>
      </c>
      <c r="Q54" s="3" t="s">
        <v>28</v>
      </c>
      <c r="R54" s="3" t="s">
        <v>24</v>
      </c>
      <c r="S54" s="4">
        <v>45824</v>
      </c>
    </row>
    <row r="55" spans="1:19" x14ac:dyDescent="0.2">
      <c r="A55" s="3">
        <v>7558</v>
      </c>
      <c r="B55" s="3" t="s">
        <v>298</v>
      </c>
      <c r="C55" s="3" t="s">
        <v>299</v>
      </c>
      <c r="D55" s="3" t="s">
        <v>89</v>
      </c>
      <c r="E55" s="3" t="s">
        <v>22</v>
      </c>
      <c r="F55" s="3" t="s">
        <v>300</v>
      </c>
      <c r="G55" s="3" t="s">
        <v>24</v>
      </c>
      <c r="H55" s="3" t="s">
        <v>301</v>
      </c>
      <c r="I55" s="3">
        <v>2</v>
      </c>
      <c r="J55" s="3">
        <v>1</v>
      </c>
      <c r="K55" s="3">
        <v>1</v>
      </c>
      <c r="L55" s="3">
        <v>7</v>
      </c>
      <c r="M55" s="3" t="s">
        <v>60</v>
      </c>
      <c r="N55" s="3" t="s">
        <v>302</v>
      </c>
      <c r="O55" s="4">
        <v>45825</v>
      </c>
      <c r="P55" s="4">
        <v>45826</v>
      </c>
      <c r="Q55" s="3" t="s">
        <v>34</v>
      </c>
      <c r="R55" s="3" t="s">
        <v>47</v>
      </c>
      <c r="S55" s="4">
        <v>45833</v>
      </c>
    </row>
    <row r="56" spans="1:19" x14ac:dyDescent="0.2">
      <c r="A56" s="3">
        <v>7559</v>
      </c>
      <c r="B56" s="3" t="s">
        <v>240</v>
      </c>
      <c r="C56" s="3" t="s">
        <v>303</v>
      </c>
      <c r="D56" s="3" t="s">
        <v>304</v>
      </c>
      <c r="E56" s="3" t="s">
        <v>161</v>
      </c>
      <c r="F56" s="3"/>
      <c r="G56" s="3" t="s">
        <v>24</v>
      </c>
      <c r="H56" s="3" t="s">
        <v>132</v>
      </c>
      <c r="I56" s="3">
        <v>1</v>
      </c>
      <c r="J56" s="3">
        <v>1</v>
      </c>
      <c r="K56" s="3">
        <v>0</v>
      </c>
      <c r="L56" s="3">
        <v>69</v>
      </c>
      <c r="M56" s="3" t="s">
        <v>36</v>
      </c>
      <c r="N56" s="3" t="s">
        <v>305</v>
      </c>
      <c r="O56" s="4">
        <v>45825</v>
      </c>
      <c r="P56" s="4">
        <v>45825</v>
      </c>
      <c r="Q56" s="3" t="s">
        <v>41</v>
      </c>
      <c r="R56" s="3" t="s">
        <v>24</v>
      </c>
      <c r="S56" s="4">
        <v>45894</v>
      </c>
    </row>
    <row r="57" spans="1:19" x14ac:dyDescent="0.2">
      <c r="A57" s="3">
        <v>7560</v>
      </c>
      <c r="B57" s="3" t="s">
        <v>247</v>
      </c>
      <c r="C57" s="3" t="s">
        <v>248</v>
      </c>
      <c r="D57" s="3" t="s">
        <v>111</v>
      </c>
      <c r="E57" s="3" t="s">
        <v>22</v>
      </c>
      <c r="F57" s="3"/>
      <c r="G57" s="3" t="s">
        <v>24</v>
      </c>
      <c r="H57" s="3" t="s">
        <v>45</v>
      </c>
      <c r="I57" s="3">
        <v>1</v>
      </c>
      <c r="J57" s="3">
        <v>1</v>
      </c>
      <c r="K57" s="3">
        <v>1</v>
      </c>
      <c r="L57" s="3">
        <v>0</v>
      </c>
      <c r="M57" s="3" t="s">
        <v>162</v>
      </c>
      <c r="N57" s="3" t="s">
        <v>285</v>
      </c>
      <c r="O57" s="4">
        <v>45826</v>
      </c>
      <c r="P57" s="4">
        <v>45826</v>
      </c>
      <c r="Q57" s="3" t="s">
        <v>34</v>
      </c>
      <c r="R57" s="3" t="s">
        <v>24</v>
      </c>
      <c r="S57" s="4">
        <v>45826</v>
      </c>
    </row>
    <row r="58" spans="1:19" x14ac:dyDescent="0.2">
      <c r="A58" s="3">
        <v>7561</v>
      </c>
      <c r="B58" s="3" t="s">
        <v>151</v>
      </c>
      <c r="C58" s="3" t="s">
        <v>152</v>
      </c>
      <c r="D58" s="3" t="s">
        <v>21</v>
      </c>
      <c r="E58" s="3" t="s">
        <v>22</v>
      </c>
      <c r="F58" s="3"/>
      <c r="G58" s="3" t="s">
        <v>24</v>
      </c>
      <c r="H58" s="3" t="s">
        <v>66</v>
      </c>
      <c r="I58" s="3">
        <v>1</v>
      </c>
      <c r="J58" s="3">
        <v>1</v>
      </c>
      <c r="K58" s="3">
        <v>1</v>
      </c>
      <c r="L58" s="3">
        <v>0</v>
      </c>
      <c r="M58" s="3" t="s">
        <v>36</v>
      </c>
      <c r="N58" s="3" t="s">
        <v>306</v>
      </c>
      <c r="O58" s="4">
        <v>45826</v>
      </c>
      <c r="P58" s="4">
        <v>45826</v>
      </c>
      <c r="Q58" s="3" t="s">
        <v>34</v>
      </c>
      <c r="R58" s="3" t="s">
        <v>24</v>
      </c>
      <c r="S58" s="4">
        <v>45826</v>
      </c>
    </row>
    <row r="59" spans="1:19" x14ac:dyDescent="0.2">
      <c r="A59" s="3">
        <v>7562</v>
      </c>
      <c r="B59" s="3" t="s">
        <v>139</v>
      </c>
      <c r="C59" s="3" t="s">
        <v>307</v>
      </c>
      <c r="D59" s="3" t="s">
        <v>210</v>
      </c>
      <c r="E59" s="3" t="s">
        <v>22</v>
      </c>
      <c r="F59" s="3" t="s">
        <v>23</v>
      </c>
      <c r="G59" s="3" t="s">
        <v>24</v>
      </c>
      <c r="H59" s="3" t="s">
        <v>142</v>
      </c>
      <c r="I59" s="3">
        <v>2</v>
      </c>
      <c r="J59" s="3">
        <v>1</v>
      </c>
      <c r="K59" s="3">
        <v>1</v>
      </c>
      <c r="L59" s="3">
        <v>7</v>
      </c>
      <c r="M59" s="3" t="s">
        <v>60</v>
      </c>
      <c r="N59" s="3" t="s">
        <v>308</v>
      </c>
      <c r="O59" s="4">
        <v>45826</v>
      </c>
      <c r="P59" s="4">
        <v>45884</v>
      </c>
      <c r="Q59" s="3" t="s">
        <v>28</v>
      </c>
      <c r="R59" s="3" t="s">
        <v>24</v>
      </c>
      <c r="S59" s="4">
        <v>45891</v>
      </c>
    </row>
    <row r="60" spans="1:19" x14ac:dyDescent="0.2">
      <c r="A60" s="3">
        <v>7566</v>
      </c>
      <c r="B60" s="3" t="s">
        <v>153</v>
      </c>
      <c r="C60" s="3" t="s">
        <v>154</v>
      </c>
      <c r="D60" s="3" t="s">
        <v>21</v>
      </c>
      <c r="E60" s="3" t="s">
        <v>22</v>
      </c>
      <c r="F60" s="3" t="s">
        <v>44</v>
      </c>
      <c r="G60" s="3" t="s">
        <v>24</v>
      </c>
      <c r="H60" s="3" t="s">
        <v>25</v>
      </c>
      <c r="I60" s="3">
        <v>3</v>
      </c>
      <c r="J60" s="3">
        <v>1</v>
      </c>
      <c r="K60" s="3">
        <v>1</v>
      </c>
      <c r="L60" s="3">
        <v>25</v>
      </c>
      <c r="M60" s="3" t="s">
        <v>36</v>
      </c>
      <c r="N60" s="3" t="s">
        <v>119</v>
      </c>
      <c r="O60" s="4">
        <v>45827</v>
      </c>
      <c r="P60" s="4">
        <v>45827</v>
      </c>
      <c r="Q60" s="3" t="s">
        <v>34</v>
      </c>
      <c r="R60" s="3" t="s">
        <v>47</v>
      </c>
      <c r="S60" s="4">
        <v>45852</v>
      </c>
    </row>
    <row r="61" spans="1:19" x14ac:dyDescent="0.2">
      <c r="A61" s="3">
        <v>7567</v>
      </c>
      <c r="B61" s="3" t="s">
        <v>309</v>
      </c>
      <c r="C61" s="3" t="s">
        <v>310</v>
      </c>
      <c r="D61" s="3" t="s">
        <v>182</v>
      </c>
      <c r="E61" s="3" t="s">
        <v>22</v>
      </c>
      <c r="F61" s="3" t="s">
        <v>107</v>
      </c>
      <c r="G61" s="3" t="s">
        <v>24</v>
      </c>
      <c r="H61" s="3" t="s">
        <v>45</v>
      </c>
      <c r="I61" s="3">
        <v>1</v>
      </c>
      <c r="J61" s="3">
        <v>1</v>
      </c>
      <c r="K61" s="3">
        <v>1</v>
      </c>
      <c r="L61" s="3">
        <v>0</v>
      </c>
      <c r="M61" s="3" t="s">
        <v>26</v>
      </c>
      <c r="N61" s="3" t="s">
        <v>109</v>
      </c>
      <c r="O61" s="4">
        <v>45831</v>
      </c>
      <c r="P61" s="4">
        <v>45831</v>
      </c>
      <c r="Q61" s="3" t="s">
        <v>34</v>
      </c>
      <c r="R61" s="3" t="s">
        <v>24</v>
      </c>
      <c r="S61" s="4">
        <v>45831</v>
      </c>
    </row>
    <row r="62" spans="1:19" x14ac:dyDescent="0.2">
      <c r="A62" s="3">
        <v>7568</v>
      </c>
      <c r="B62" s="3" t="s">
        <v>309</v>
      </c>
      <c r="C62" s="3" t="s">
        <v>310</v>
      </c>
      <c r="D62" s="3" t="s">
        <v>182</v>
      </c>
      <c r="E62" s="3" t="s">
        <v>22</v>
      </c>
      <c r="F62" s="3" t="s">
        <v>107</v>
      </c>
      <c r="G62" s="3" t="s">
        <v>24</v>
      </c>
      <c r="H62" s="3" t="s">
        <v>45</v>
      </c>
      <c r="I62" s="3">
        <v>1</v>
      </c>
      <c r="J62" s="3">
        <v>1</v>
      </c>
      <c r="K62" s="3">
        <v>1</v>
      </c>
      <c r="L62" s="3">
        <v>0</v>
      </c>
      <c r="M62" s="3" t="s">
        <v>108</v>
      </c>
      <c r="N62" s="3" t="s">
        <v>109</v>
      </c>
      <c r="O62" s="4">
        <v>45831</v>
      </c>
      <c r="P62" s="4">
        <v>45831</v>
      </c>
      <c r="Q62" s="3" t="s">
        <v>34</v>
      </c>
      <c r="R62" s="3" t="s">
        <v>24</v>
      </c>
      <c r="S62" s="4">
        <v>45831</v>
      </c>
    </row>
    <row r="63" spans="1:19" x14ac:dyDescent="0.2">
      <c r="A63" s="3">
        <v>7569</v>
      </c>
      <c r="B63" s="3" t="s">
        <v>309</v>
      </c>
      <c r="C63" s="3" t="s">
        <v>310</v>
      </c>
      <c r="D63" s="3" t="s">
        <v>182</v>
      </c>
      <c r="E63" s="3" t="s">
        <v>22</v>
      </c>
      <c r="F63" s="3" t="s">
        <v>107</v>
      </c>
      <c r="G63" s="3" t="s">
        <v>24</v>
      </c>
      <c r="H63" s="3" t="s">
        <v>45</v>
      </c>
      <c r="I63" s="3">
        <v>1</v>
      </c>
      <c r="J63" s="3">
        <v>1</v>
      </c>
      <c r="K63" s="3">
        <v>1</v>
      </c>
      <c r="L63" s="3">
        <v>0</v>
      </c>
      <c r="M63" s="3" t="s">
        <v>36</v>
      </c>
      <c r="N63" s="3" t="s">
        <v>109</v>
      </c>
      <c r="O63" s="4">
        <v>45831</v>
      </c>
      <c r="P63" s="4">
        <v>45831</v>
      </c>
      <c r="Q63" s="3" t="s">
        <v>34</v>
      </c>
      <c r="R63" s="3" t="s">
        <v>24</v>
      </c>
      <c r="S63" s="4">
        <v>45831</v>
      </c>
    </row>
    <row r="64" spans="1:19" x14ac:dyDescent="0.2">
      <c r="A64" s="3">
        <v>7570</v>
      </c>
      <c r="B64" s="3" t="s">
        <v>19</v>
      </c>
      <c r="C64" s="3" t="s">
        <v>311</v>
      </c>
      <c r="D64" s="3" t="s">
        <v>219</v>
      </c>
      <c r="E64" s="3" t="s">
        <v>22</v>
      </c>
      <c r="F64" s="3" t="s">
        <v>70</v>
      </c>
      <c r="G64" s="3" t="s">
        <v>24</v>
      </c>
      <c r="H64" s="3" t="s">
        <v>25</v>
      </c>
      <c r="I64" s="3">
        <v>1</v>
      </c>
      <c r="J64" s="3">
        <v>1</v>
      </c>
      <c r="K64" s="3">
        <v>1</v>
      </c>
      <c r="L64" s="3">
        <v>0</v>
      </c>
      <c r="M64" s="3" t="s">
        <v>36</v>
      </c>
      <c r="N64" s="3" t="s">
        <v>312</v>
      </c>
      <c r="O64" s="4">
        <v>45831</v>
      </c>
      <c r="P64" s="4">
        <v>45833</v>
      </c>
      <c r="Q64" s="3" t="s">
        <v>28</v>
      </c>
      <c r="R64" s="3" t="s">
        <v>24</v>
      </c>
      <c r="S64" s="4">
        <v>45833</v>
      </c>
    </row>
    <row r="65" spans="1:19" x14ac:dyDescent="0.2">
      <c r="A65" s="3">
        <v>7571</v>
      </c>
      <c r="B65" s="3" t="s">
        <v>208</v>
      </c>
      <c r="C65" s="3" t="s">
        <v>209</v>
      </c>
      <c r="D65" s="3" t="s">
        <v>106</v>
      </c>
      <c r="E65" s="3" t="s">
        <v>22</v>
      </c>
      <c r="F65" s="3" t="s">
        <v>313</v>
      </c>
      <c r="G65" s="3" t="s">
        <v>24</v>
      </c>
      <c r="H65" s="3" t="s">
        <v>211</v>
      </c>
      <c r="I65" s="3">
        <v>1</v>
      </c>
      <c r="J65" s="3">
        <v>1</v>
      </c>
      <c r="K65" s="3">
        <v>1</v>
      </c>
      <c r="L65" s="3">
        <v>2</v>
      </c>
      <c r="M65" s="3" t="s">
        <v>26</v>
      </c>
      <c r="N65" s="3" t="s">
        <v>109</v>
      </c>
      <c r="O65" s="4">
        <v>45832</v>
      </c>
      <c r="P65" s="4">
        <v>45832</v>
      </c>
      <c r="Q65" s="3" t="s">
        <v>34</v>
      </c>
      <c r="R65" s="3" t="s">
        <v>24</v>
      </c>
      <c r="S65" s="4">
        <v>45834</v>
      </c>
    </row>
    <row r="66" spans="1:19" x14ac:dyDescent="0.2">
      <c r="A66" s="3">
        <v>7572</v>
      </c>
      <c r="B66" s="3" t="s">
        <v>208</v>
      </c>
      <c r="C66" s="3" t="s">
        <v>209</v>
      </c>
      <c r="D66" s="3" t="s">
        <v>54</v>
      </c>
      <c r="E66" s="3" t="s">
        <v>22</v>
      </c>
      <c r="F66" s="3" t="s">
        <v>107</v>
      </c>
      <c r="G66" s="3" t="s">
        <v>24</v>
      </c>
      <c r="H66" s="3" t="s">
        <v>211</v>
      </c>
      <c r="I66" s="3">
        <v>1</v>
      </c>
      <c r="J66" s="3">
        <v>1</v>
      </c>
      <c r="K66" s="3">
        <v>1</v>
      </c>
      <c r="L66" s="3">
        <v>0</v>
      </c>
      <c r="M66" s="3" t="s">
        <v>108</v>
      </c>
      <c r="N66" s="3" t="s">
        <v>296</v>
      </c>
      <c r="O66" s="4">
        <v>45832</v>
      </c>
      <c r="P66" s="4">
        <v>45833</v>
      </c>
      <c r="Q66" s="3" t="s">
        <v>28</v>
      </c>
      <c r="R66" s="3" t="s">
        <v>24</v>
      </c>
      <c r="S66" s="4">
        <v>45833</v>
      </c>
    </row>
    <row r="67" spans="1:19" x14ac:dyDescent="0.2">
      <c r="A67" s="3">
        <v>7573</v>
      </c>
      <c r="B67" s="3" t="s">
        <v>208</v>
      </c>
      <c r="C67" s="3" t="s">
        <v>209</v>
      </c>
      <c r="D67" s="3" t="s">
        <v>182</v>
      </c>
      <c r="E67" s="3" t="s">
        <v>22</v>
      </c>
      <c r="F67" s="3" t="s">
        <v>238</v>
      </c>
      <c r="G67" s="3" t="s">
        <v>24</v>
      </c>
      <c r="H67" s="3" t="s">
        <v>211</v>
      </c>
      <c r="I67" s="3">
        <v>1</v>
      </c>
      <c r="J67" s="3">
        <v>1</v>
      </c>
      <c r="K67" s="3">
        <v>1</v>
      </c>
      <c r="L67" s="3">
        <v>0</v>
      </c>
      <c r="M67" s="3" t="s">
        <v>36</v>
      </c>
      <c r="N67" s="3" t="s">
        <v>274</v>
      </c>
      <c r="O67" s="4">
        <v>45832</v>
      </c>
      <c r="P67" s="4">
        <v>45832</v>
      </c>
      <c r="Q67" s="3" t="s">
        <v>34</v>
      </c>
      <c r="R67" s="3" t="s">
        <v>24</v>
      </c>
      <c r="S67" s="4">
        <v>45832</v>
      </c>
    </row>
    <row r="68" spans="1:19" x14ac:dyDescent="0.2">
      <c r="A68" s="3">
        <v>7574</v>
      </c>
      <c r="B68" s="3" t="s">
        <v>208</v>
      </c>
      <c r="C68" s="3" t="s">
        <v>209</v>
      </c>
      <c r="D68" s="3" t="s">
        <v>183</v>
      </c>
      <c r="E68" s="3" t="s">
        <v>22</v>
      </c>
      <c r="F68" s="3" t="s">
        <v>107</v>
      </c>
      <c r="G68" s="3" t="s">
        <v>24</v>
      </c>
      <c r="H68" s="3" t="s">
        <v>211</v>
      </c>
      <c r="I68" s="3">
        <v>1</v>
      </c>
      <c r="J68" s="3">
        <v>1</v>
      </c>
      <c r="K68" s="3">
        <v>1</v>
      </c>
      <c r="L68" s="3">
        <v>0</v>
      </c>
      <c r="M68" s="3" t="s">
        <v>36</v>
      </c>
      <c r="N68" s="3" t="s">
        <v>109</v>
      </c>
      <c r="O68" s="4">
        <v>45832</v>
      </c>
      <c r="P68" s="4">
        <v>45832</v>
      </c>
      <c r="Q68" s="3" t="s">
        <v>34</v>
      </c>
      <c r="R68" s="3" t="s">
        <v>24</v>
      </c>
      <c r="S68" s="4">
        <v>45832</v>
      </c>
    </row>
    <row r="69" spans="1:19" x14ac:dyDescent="0.2">
      <c r="A69" s="3">
        <v>7576</v>
      </c>
      <c r="B69" s="3" t="s">
        <v>208</v>
      </c>
      <c r="C69" s="3" t="s">
        <v>209</v>
      </c>
      <c r="D69" s="3" t="s">
        <v>182</v>
      </c>
      <c r="E69" s="3" t="s">
        <v>22</v>
      </c>
      <c r="F69" s="3" t="s">
        <v>313</v>
      </c>
      <c r="G69" s="3" t="s">
        <v>24</v>
      </c>
      <c r="H69" s="3" t="s">
        <v>211</v>
      </c>
      <c r="I69" s="3">
        <v>1</v>
      </c>
      <c r="J69" s="3">
        <v>1</v>
      </c>
      <c r="K69" s="3">
        <v>1</v>
      </c>
      <c r="L69" s="3">
        <v>0</v>
      </c>
      <c r="M69" s="3" t="s">
        <v>108</v>
      </c>
      <c r="N69" s="3" t="s">
        <v>109</v>
      </c>
      <c r="O69" s="4">
        <v>45832</v>
      </c>
      <c r="P69" s="4">
        <v>45832</v>
      </c>
      <c r="Q69" s="3" t="s">
        <v>34</v>
      </c>
      <c r="R69" s="3" t="s">
        <v>24</v>
      </c>
      <c r="S69" s="4">
        <v>45832</v>
      </c>
    </row>
    <row r="70" spans="1:19" x14ac:dyDescent="0.2">
      <c r="A70" s="3">
        <v>7577</v>
      </c>
      <c r="B70" s="3" t="s">
        <v>208</v>
      </c>
      <c r="C70" s="3" t="s">
        <v>209</v>
      </c>
      <c r="D70" s="3" t="s">
        <v>54</v>
      </c>
      <c r="E70" s="3" t="s">
        <v>22</v>
      </c>
      <c r="F70" s="3" t="s">
        <v>70</v>
      </c>
      <c r="G70" s="3" t="s">
        <v>24</v>
      </c>
      <c r="H70" s="3" t="s">
        <v>211</v>
      </c>
      <c r="I70" s="3">
        <v>1</v>
      </c>
      <c r="J70" s="3">
        <v>1</v>
      </c>
      <c r="K70" s="3">
        <v>1</v>
      </c>
      <c r="L70" s="3">
        <v>0</v>
      </c>
      <c r="M70" s="3" t="s">
        <v>36</v>
      </c>
      <c r="N70" s="3" t="s">
        <v>283</v>
      </c>
      <c r="O70" s="4">
        <v>45832</v>
      </c>
      <c r="P70" s="4">
        <v>45832</v>
      </c>
      <c r="Q70" s="3" t="s">
        <v>34</v>
      </c>
      <c r="R70" s="3" t="s">
        <v>24</v>
      </c>
      <c r="S70" s="4">
        <v>45832</v>
      </c>
    </row>
    <row r="71" spans="1:19" x14ac:dyDescent="0.2">
      <c r="A71" s="3">
        <v>7579</v>
      </c>
      <c r="B71" s="3" t="s">
        <v>261</v>
      </c>
      <c r="C71" s="3" t="s">
        <v>262</v>
      </c>
      <c r="D71" s="3" t="s">
        <v>145</v>
      </c>
      <c r="E71" s="3" t="s">
        <v>22</v>
      </c>
      <c r="F71" s="3" t="s">
        <v>23</v>
      </c>
      <c r="G71" s="3" t="s">
        <v>24</v>
      </c>
      <c r="H71" s="3" t="s">
        <v>25</v>
      </c>
      <c r="I71" s="3">
        <v>2</v>
      </c>
      <c r="J71" s="3">
        <v>1</v>
      </c>
      <c r="K71" s="3">
        <v>1</v>
      </c>
      <c r="L71" s="3">
        <v>5</v>
      </c>
      <c r="M71" s="3" t="s">
        <v>78</v>
      </c>
      <c r="N71" s="3" t="s">
        <v>314</v>
      </c>
      <c r="O71" s="4">
        <v>45833</v>
      </c>
      <c r="P71" s="4">
        <v>45863</v>
      </c>
      <c r="Q71" s="3" t="s">
        <v>28</v>
      </c>
      <c r="R71" s="3" t="s">
        <v>24</v>
      </c>
      <c r="S71" s="4">
        <v>45868</v>
      </c>
    </row>
    <row r="72" spans="1:19" x14ac:dyDescent="0.2">
      <c r="A72" s="3">
        <v>7580</v>
      </c>
      <c r="B72" s="3" t="s">
        <v>261</v>
      </c>
      <c r="C72" s="3" t="s">
        <v>315</v>
      </c>
      <c r="D72" s="3" t="s">
        <v>118</v>
      </c>
      <c r="E72" s="3" t="s">
        <v>22</v>
      </c>
      <c r="F72" s="3" t="s">
        <v>44</v>
      </c>
      <c r="G72" s="3" t="s">
        <v>24</v>
      </c>
      <c r="H72" s="3" t="s">
        <v>25</v>
      </c>
      <c r="I72" s="3">
        <v>2</v>
      </c>
      <c r="J72" s="3">
        <v>1</v>
      </c>
      <c r="K72" s="3">
        <v>1</v>
      </c>
      <c r="L72" s="3">
        <v>9</v>
      </c>
      <c r="M72" s="3" t="s">
        <v>36</v>
      </c>
      <c r="N72" s="3" t="s">
        <v>249</v>
      </c>
      <c r="O72" s="4">
        <v>45833</v>
      </c>
      <c r="P72" s="4">
        <v>45838</v>
      </c>
      <c r="Q72" s="3" t="s">
        <v>34</v>
      </c>
      <c r="R72" s="3" t="s">
        <v>24</v>
      </c>
      <c r="S72" s="4">
        <v>45847</v>
      </c>
    </row>
    <row r="73" spans="1:19" x14ac:dyDescent="0.2">
      <c r="A73" s="3">
        <v>7581</v>
      </c>
      <c r="B73" s="3" t="s">
        <v>261</v>
      </c>
      <c r="C73" s="3" t="s">
        <v>315</v>
      </c>
      <c r="D73" s="3" t="s">
        <v>35</v>
      </c>
      <c r="E73" s="3" t="s">
        <v>217</v>
      </c>
      <c r="F73" s="3"/>
      <c r="G73" s="3" t="s">
        <v>24</v>
      </c>
      <c r="H73" s="3" t="s">
        <v>25</v>
      </c>
      <c r="I73" s="3">
        <v>1</v>
      </c>
      <c r="J73" s="3">
        <v>0</v>
      </c>
      <c r="K73" s="3">
        <v>0</v>
      </c>
      <c r="L73" s="3">
        <v>7</v>
      </c>
      <c r="M73" s="3" t="s">
        <v>36</v>
      </c>
      <c r="N73" s="3" t="s">
        <v>56</v>
      </c>
      <c r="O73" s="4">
        <v>45833</v>
      </c>
      <c r="P73" s="4">
        <v>45834</v>
      </c>
      <c r="Q73" s="3" t="s">
        <v>34</v>
      </c>
      <c r="R73" s="3" t="s">
        <v>24</v>
      </c>
      <c r="S73" s="4">
        <v>45841</v>
      </c>
    </row>
    <row r="74" spans="1:19" x14ac:dyDescent="0.2">
      <c r="A74" s="3">
        <v>7582</v>
      </c>
      <c r="B74" s="3" t="s">
        <v>316</v>
      </c>
      <c r="C74" s="3" t="s">
        <v>317</v>
      </c>
      <c r="D74" s="3" t="s">
        <v>31</v>
      </c>
      <c r="E74" s="3" t="s">
        <v>22</v>
      </c>
      <c r="F74" s="3" t="s">
        <v>107</v>
      </c>
      <c r="G74" s="3" t="s">
        <v>24</v>
      </c>
      <c r="H74" s="3" t="s">
        <v>273</v>
      </c>
      <c r="I74" s="3">
        <v>1</v>
      </c>
      <c r="J74" s="3">
        <v>1</v>
      </c>
      <c r="K74" s="3">
        <v>1</v>
      </c>
      <c r="L74" s="3">
        <v>0</v>
      </c>
      <c r="M74" s="3" t="s">
        <v>38</v>
      </c>
      <c r="N74" s="3" t="s">
        <v>283</v>
      </c>
      <c r="O74" s="4">
        <v>45833</v>
      </c>
      <c r="P74" s="4">
        <v>45833</v>
      </c>
      <c r="Q74" s="3" t="s">
        <v>34</v>
      </c>
      <c r="R74" s="3" t="s">
        <v>24</v>
      </c>
      <c r="S74" s="4">
        <v>45833</v>
      </c>
    </row>
    <row r="75" spans="1:19" x14ac:dyDescent="0.2">
      <c r="A75" s="3">
        <v>7583</v>
      </c>
      <c r="B75" s="3" t="s">
        <v>316</v>
      </c>
      <c r="C75" s="3" t="s">
        <v>317</v>
      </c>
      <c r="D75" s="3" t="s">
        <v>106</v>
      </c>
      <c r="E75" s="3" t="s">
        <v>22</v>
      </c>
      <c r="F75" s="3" t="s">
        <v>107</v>
      </c>
      <c r="G75" s="3" t="s">
        <v>24</v>
      </c>
      <c r="H75" s="3" t="s">
        <v>273</v>
      </c>
      <c r="I75" s="3">
        <v>1</v>
      </c>
      <c r="J75" s="3">
        <v>1</v>
      </c>
      <c r="K75" s="3">
        <v>1</v>
      </c>
      <c r="L75" s="3">
        <v>0</v>
      </c>
      <c r="M75" s="3" t="s">
        <v>36</v>
      </c>
      <c r="N75" s="3" t="s">
        <v>318</v>
      </c>
      <c r="O75" s="4">
        <v>45833</v>
      </c>
      <c r="P75" s="4">
        <v>45833</v>
      </c>
      <c r="Q75" s="3" t="s">
        <v>34</v>
      </c>
      <c r="R75" s="3" t="s">
        <v>24</v>
      </c>
      <c r="S75" s="4">
        <v>45833</v>
      </c>
    </row>
    <row r="76" spans="1:19" x14ac:dyDescent="0.2">
      <c r="A76" s="3">
        <v>7584</v>
      </c>
      <c r="B76" s="3" t="s">
        <v>316</v>
      </c>
      <c r="C76" s="3" t="s">
        <v>317</v>
      </c>
      <c r="D76" s="3" t="s">
        <v>106</v>
      </c>
      <c r="E76" s="3" t="s">
        <v>22</v>
      </c>
      <c r="F76" s="3" t="s">
        <v>107</v>
      </c>
      <c r="G76" s="3" t="s">
        <v>24</v>
      </c>
      <c r="H76" s="3" t="s">
        <v>273</v>
      </c>
      <c r="I76" s="3">
        <v>1</v>
      </c>
      <c r="J76" s="3">
        <v>1</v>
      </c>
      <c r="K76" s="3">
        <v>1</v>
      </c>
      <c r="L76" s="3">
        <v>0</v>
      </c>
      <c r="M76" s="3" t="s">
        <v>36</v>
      </c>
      <c r="N76" s="3" t="s">
        <v>318</v>
      </c>
      <c r="O76" s="4">
        <v>45833</v>
      </c>
      <c r="P76" s="4">
        <v>45833</v>
      </c>
      <c r="Q76" s="3" t="s">
        <v>34</v>
      </c>
      <c r="R76" s="3" t="s">
        <v>24</v>
      </c>
      <c r="S76" s="4">
        <v>45833</v>
      </c>
    </row>
    <row r="77" spans="1:19" x14ac:dyDescent="0.2">
      <c r="A77" s="3">
        <v>7585</v>
      </c>
      <c r="B77" s="3" t="s">
        <v>316</v>
      </c>
      <c r="C77" s="3" t="s">
        <v>317</v>
      </c>
      <c r="D77" s="3" t="s">
        <v>183</v>
      </c>
      <c r="E77" s="3" t="s">
        <v>22</v>
      </c>
      <c r="F77" s="3" t="s">
        <v>107</v>
      </c>
      <c r="G77" s="3" t="s">
        <v>24</v>
      </c>
      <c r="H77" s="3" t="s">
        <v>273</v>
      </c>
      <c r="I77" s="3">
        <v>1</v>
      </c>
      <c r="J77" s="3">
        <v>1</v>
      </c>
      <c r="K77" s="3">
        <v>1</v>
      </c>
      <c r="L77" s="3">
        <v>0</v>
      </c>
      <c r="M77" s="3" t="s">
        <v>36</v>
      </c>
      <c r="N77" s="3" t="s">
        <v>318</v>
      </c>
      <c r="O77" s="4">
        <v>45833</v>
      </c>
      <c r="P77" s="4">
        <v>45833</v>
      </c>
      <c r="Q77" s="3" t="s">
        <v>34</v>
      </c>
      <c r="R77" s="3" t="s">
        <v>24</v>
      </c>
      <c r="S77" s="4">
        <v>45833</v>
      </c>
    </row>
    <row r="78" spans="1:19" x14ac:dyDescent="0.2">
      <c r="A78" s="3">
        <v>7586</v>
      </c>
      <c r="B78" s="3" t="s">
        <v>19</v>
      </c>
      <c r="C78" s="3" t="s">
        <v>319</v>
      </c>
      <c r="D78" s="3" t="s">
        <v>126</v>
      </c>
      <c r="E78" s="3" t="s">
        <v>22</v>
      </c>
      <c r="F78" s="3" t="s">
        <v>23</v>
      </c>
      <c r="G78" s="3" t="s">
        <v>24</v>
      </c>
      <c r="H78" s="3" t="s">
        <v>25</v>
      </c>
      <c r="I78" s="3">
        <v>3</v>
      </c>
      <c r="J78" s="3">
        <v>1</v>
      </c>
      <c r="K78" s="3">
        <v>1</v>
      </c>
      <c r="L78" s="3">
        <v>4</v>
      </c>
      <c r="M78" s="3" t="s">
        <v>36</v>
      </c>
      <c r="N78" s="3" t="s">
        <v>320</v>
      </c>
      <c r="O78" s="4">
        <v>45834</v>
      </c>
      <c r="P78" s="4">
        <v>45884</v>
      </c>
      <c r="Q78" s="3" t="s">
        <v>28</v>
      </c>
      <c r="R78" s="3" t="s">
        <v>24</v>
      </c>
      <c r="S78" s="4">
        <v>45888</v>
      </c>
    </row>
    <row r="79" spans="1:19" x14ac:dyDescent="0.2">
      <c r="A79" s="3">
        <v>7587</v>
      </c>
      <c r="B79" s="3" t="s">
        <v>208</v>
      </c>
      <c r="C79" s="3" t="s">
        <v>209</v>
      </c>
      <c r="D79" s="3" t="s">
        <v>89</v>
      </c>
      <c r="E79" s="3" t="s">
        <v>22</v>
      </c>
      <c r="F79" s="3" t="s">
        <v>321</v>
      </c>
      <c r="G79" s="3" t="s">
        <v>24</v>
      </c>
      <c r="H79" s="3" t="s">
        <v>211</v>
      </c>
      <c r="I79" s="3">
        <v>1</v>
      </c>
      <c r="J79" s="3">
        <v>1</v>
      </c>
      <c r="K79" s="3">
        <v>1</v>
      </c>
      <c r="L79" s="3">
        <v>12</v>
      </c>
      <c r="M79" s="3" t="s">
        <v>36</v>
      </c>
      <c r="N79" s="3" t="s">
        <v>322</v>
      </c>
      <c r="O79" s="4">
        <v>45834</v>
      </c>
      <c r="P79" s="4">
        <v>45841</v>
      </c>
      <c r="Q79" s="3" t="s">
        <v>34</v>
      </c>
      <c r="R79" s="3" t="s">
        <v>24</v>
      </c>
      <c r="S79" s="4">
        <v>45853</v>
      </c>
    </row>
    <row r="80" spans="1:19" x14ac:dyDescent="0.2">
      <c r="A80" s="3">
        <v>7588</v>
      </c>
      <c r="B80" s="3" t="s">
        <v>208</v>
      </c>
      <c r="C80" s="3" t="s">
        <v>209</v>
      </c>
      <c r="D80" s="3" t="s">
        <v>89</v>
      </c>
      <c r="E80" s="3" t="s">
        <v>22</v>
      </c>
      <c r="F80" s="3" t="s">
        <v>321</v>
      </c>
      <c r="G80" s="3" t="s">
        <v>24</v>
      </c>
      <c r="H80" s="3" t="s">
        <v>211</v>
      </c>
      <c r="I80" s="3">
        <v>1</v>
      </c>
      <c r="J80" s="3">
        <v>1</v>
      </c>
      <c r="K80" s="3">
        <v>1</v>
      </c>
      <c r="L80" s="3">
        <v>12</v>
      </c>
      <c r="M80" s="3" t="s">
        <v>36</v>
      </c>
      <c r="N80" s="3" t="s">
        <v>322</v>
      </c>
      <c r="O80" s="4">
        <v>45834</v>
      </c>
      <c r="P80" s="4">
        <v>45841</v>
      </c>
      <c r="Q80" s="3" t="s">
        <v>34</v>
      </c>
      <c r="R80" s="3" t="s">
        <v>24</v>
      </c>
      <c r="S80" s="4">
        <v>45853</v>
      </c>
    </row>
    <row r="81" spans="1:19" x14ac:dyDescent="0.2">
      <c r="A81" s="3">
        <v>7589</v>
      </c>
      <c r="B81" s="3" t="s">
        <v>323</v>
      </c>
      <c r="C81" s="3" t="s">
        <v>324</v>
      </c>
      <c r="D81" s="3" t="s">
        <v>205</v>
      </c>
      <c r="E81" s="3" t="s">
        <v>61</v>
      </c>
      <c r="F81" s="3"/>
      <c r="G81" s="3" t="s">
        <v>24</v>
      </c>
      <c r="H81" s="3" t="s">
        <v>45</v>
      </c>
      <c r="I81" s="3">
        <v>2</v>
      </c>
      <c r="J81" s="3">
        <v>0</v>
      </c>
      <c r="K81" s="3">
        <v>0</v>
      </c>
      <c r="L81" s="3">
        <v>30</v>
      </c>
      <c r="M81" s="3" t="s">
        <v>100</v>
      </c>
      <c r="N81" s="3" t="s">
        <v>325</v>
      </c>
      <c r="O81" s="4">
        <v>45834</v>
      </c>
      <c r="P81" s="4">
        <v>45839</v>
      </c>
      <c r="Q81" s="3" t="s">
        <v>28</v>
      </c>
      <c r="R81" s="3" t="s">
        <v>24</v>
      </c>
      <c r="S81" s="4">
        <v>45869</v>
      </c>
    </row>
    <row r="82" spans="1:19" x14ac:dyDescent="0.2">
      <c r="A82" s="3">
        <v>7590</v>
      </c>
      <c r="B82" s="3" t="s">
        <v>326</v>
      </c>
      <c r="C82" s="3" t="s">
        <v>327</v>
      </c>
      <c r="D82" s="3" t="s">
        <v>141</v>
      </c>
      <c r="E82" s="3" t="s">
        <v>22</v>
      </c>
      <c r="F82" s="3" t="s">
        <v>23</v>
      </c>
      <c r="G82" s="3" t="s">
        <v>24</v>
      </c>
      <c r="H82" s="3" t="s">
        <v>328</v>
      </c>
      <c r="I82" s="3">
        <v>1</v>
      </c>
      <c r="J82" s="3">
        <v>1</v>
      </c>
      <c r="K82" s="3">
        <v>1</v>
      </c>
      <c r="L82" s="3">
        <v>3</v>
      </c>
      <c r="M82" s="3" t="s">
        <v>36</v>
      </c>
      <c r="N82" s="3" t="s">
        <v>329</v>
      </c>
      <c r="O82" s="4">
        <v>45838</v>
      </c>
      <c r="P82" s="4">
        <v>45839</v>
      </c>
      <c r="Q82" s="3" t="s">
        <v>41</v>
      </c>
      <c r="R82" s="3" t="s">
        <v>24</v>
      </c>
      <c r="S82" s="4">
        <v>45842</v>
      </c>
    </row>
    <row r="84" spans="1:19" x14ac:dyDescent="0.2">
      <c r="I84">
        <f>SUM(I2:I82)</f>
        <v>162</v>
      </c>
      <c r="J84">
        <f>SUM(J2:J82)</f>
        <v>59</v>
      </c>
    </row>
    <row r="86" spans="1:19" x14ac:dyDescent="0.2">
      <c r="I86" t="s">
        <v>515</v>
      </c>
      <c r="J86" s="5">
        <f>J84/I84</f>
        <v>0.36419753086419754</v>
      </c>
    </row>
    <row r="87" spans="1:19" x14ac:dyDescent="0.2">
      <c r="I87" t="s">
        <v>517</v>
      </c>
      <c r="J87" s="5">
        <f>('04 - April'!J58+'05 - May'!J47+'06 - June'!J84)/('04 - April'!I58+'05 - May'!I47+'06 - June'!I84)</f>
        <v>0.29705215419501135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0ACEA-1FCC-C947-B97C-449CB137651E}">
  <dimension ref="A1:S70"/>
  <sheetViews>
    <sheetView topLeftCell="A41" workbookViewId="0">
      <selection activeCell="I71" sqref="I71"/>
    </sheetView>
  </sheetViews>
  <sheetFormatPr baseColWidth="10" defaultRowHeight="15" x14ac:dyDescent="0.2"/>
  <sheetData>
    <row r="1" spans="1:1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s="3">
        <v>7593</v>
      </c>
      <c r="B2" s="3" t="s">
        <v>261</v>
      </c>
      <c r="C2" s="3" t="s">
        <v>330</v>
      </c>
      <c r="D2" s="3" t="s">
        <v>35</v>
      </c>
      <c r="E2" s="3" t="s">
        <v>22</v>
      </c>
      <c r="F2" s="3"/>
      <c r="G2" s="3" t="s">
        <v>24</v>
      </c>
      <c r="H2" s="3" t="s">
        <v>25</v>
      </c>
      <c r="I2" s="3">
        <v>1</v>
      </c>
      <c r="J2" s="3">
        <v>1</v>
      </c>
      <c r="K2" s="3">
        <v>1</v>
      </c>
      <c r="L2" s="3">
        <v>0</v>
      </c>
      <c r="M2" s="3" t="s">
        <v>38</v>
      </c>
      <c r="N2" s="3" t="s">
        <v>56</v>
      </c>
      <c r="O2" s="4">
        <v>45839</v>
      </c>
      <c r="P2" s="4">
        <v>45839</v>
      </c>
      <c r="Q2" s="3" t="s">
        <v>34</v>
      </c>
      <c r="R2" s="3" t="s">
        <v>47</v>
      </c>
      <c r="S2" s="4">
        <v>45839</v>
      </c>
    </row>
    <row r="3" spans="1:19" x14ac:dyDescent="0.2">
      <c r="A3" s="3">
        <v>7595</v>
      </c>
      <c r="B3" s="3" t="s">
        <v>227</v>
      </c>
      <c r="C3" s="3" t="s">
        <v>331</v>
      </c>
      <c r="D3" s="3" t="s">
        <v>21</v>
      </c>
      <c r="E3" s="3" t="s">
        <v>22</v>
      </c>
      <c r="F3" s="3" t="s">
        <v>44</v>
      </c>
      <c r="G3" s="3" t="s">
        <v>24</v>
      </c>
      <c r="H3" s="3" t="s">
        <v>230</v>
      </c>
      <c r="I3" s="3">
        <v>3</v>
      </c>
      <c r="J3" s="3">
        <v>1</v>
      </c>
      <c r="K3" s="3">
        <v>1</v>
      </c>
      <c r="L3" s="3">
        <v>7</v>
      </c>
      <c r="M3" s="3" t="s">
        <v>60</v>
      </c>
      <c r="N3" s="3" t="s">
        <v>332</v>
      </c>
      <c r="O3" s="4">
        <v>45840</v>
      </c>
      <c r="P3" s="4">
        <v>45845</v>
      </c>
      <c r="Q3" s="3" t="s">
        <v>28</v>
      </c>
      <c r="R3" s="3" t="s">
        <v>24</v>
      </c>
      <c r="S3" s="4">
        <v>45852</v>
      </c>
    </row>
    <row r="4" spans="1:19" x14ac:dyDescent="0.2">
      <c r="A4" s="3">
        <v>7597</v>
      </c>
      <c r="B4" s="3" t="s">
        <v>326</v>
      </c>
      <c r="C4" s="3" t="s">
        <v>333</v>
      </c>
      <c r="D4" s="3" t="s">
        <v>98</v>
      </c>
      <c r="E4" s="3" t="s">
        <v>22</v>
      </c>
      <c r="F4" s="3"/>
      <c r="G4" s="3" t="s">
        <v>24</v>
      </c>
      <c r="H4" s="3" t="s">
        <v>328</v>
      </c>
      <c r="I4" s="3">
        <v>2</v>
      </c>
      <c r="J4" s="3">
        <v>1</v>
      </c>
      <c r="K4" s="3">
        <v>1</v>
      </c>
      <c r="L4" s="3">
        <v>25</v>
      </c>
      <c r="M4" s="3" t="s">
        <v>36</v>
      </c>
      <c r="N4" s="3" t="s">
        <v>172</v>
      </c>
      <c r="O4" s="4">
        <v>45840</v>
      </c>
      <c r="P4" s="4">
        <v>45936</v>
      </c>
      <c r="Q4" s="3" t="s">
        <v>41</v>
      </c>
      <c r="R4" s="3" t="s">
        <v>24</v>
      </c>
      <c r="S4" s="4">
        <v>45961</v>
      </c>
    </row>
    <row r="5" spans="1:19" x14ac:dyDescent="0.2">
      <c r="A5" s="3">
        <v>7600</v>
      </c>
      <c r="B5" s="3" t="s">
        <v>57</v>
      </c>
      <c r="C5" s="3" t="s">
        <v>235</v>
      </c>
      <c r="D5" s="3" t="s">
        <v>35</v>
      </c>
      <c r="E5" s="3" t="s">
        <v>161</v>
      </c>
      <c r="F5" s="3"/>
      <c r="G5" s="3" t="s">
        <v>24</v>
      </c>
      <c r="H5" s="3" t="s">
        <v>59</v>
      </c>
      <c r="I5" s="3">
        <v>1</v>
      </c>
      <c r="J5" s="3">
        <v>0</v>
      </c>
      <c r="K5" s="3">
        <v>0</v>
      </c>
      <c r="L5" s="3">
        <v>2</v>
      </c>
      <c r="M5" s="3" t="s">
        <v>78</v>
      </c>
      <c r="N5" s="3" t="s">
        <v>83</v>
      </c>
      <c r="O5" s="4">
        <v>45845</v>
      </c>
      <c r="P5" s="4">
        <v>45846</v>
      </c>
      <c r="Q5" s="3" t="s">
        <v>28</v>
      </c>
      <c r="R5" s="3" t="s">
        <v>47</v>
      </c>
      <c r="S5" s="4">
        <v>45848</v>
      </c>
    </row>
    <row r="6" spans="1:19" x14ac:dyDescent="0.2">
      <c r="A6" s="3">
        <v>7602</v>
      </c>
      <c r="B6" s="3" t="s">
        <v>334</v>
      </c>
      <c r="C6" s="3" t="s">
        <v>335</v>
      </c>
      <c r="D6" s="3" t="s">
        <v>74</v>
      </c>
      <c r="E6" s="3" t="s">
        <v>161</v>
      </c>
      <c r="F6" s="3" t="s">
        <v>229</v>
      </c>
      <c r="G6" s="3" t="s">
        <v>24</v>
      </c>
      <c r="H6" s="3" t="s">
        <v>230</v>
      </c>
      <c r="I6" s="3">
        <v>1</v>
      </c>
      <c r="J6" s="3">
        <v>0</v>
      </c>
      <c r="K6" s="3">
        <v>0</v>
      </c>
      <c r="L6" s="3">
        <v>4</v>
      </c>
      <c r="M6" s="3" t="s">
        <v>36</v>
      </c>
      <c r="N6" s="3" t="s">
        <v>336</v>
      </c>
      <c r="O6" s="4">
        <v>45846</v>
      </c>
      <c r="P6" s="4">
        <v>45848</v>
      </c>
      <c r="Q6" s="3" t="s">
        <v>34</v>
      </c>
      <c r="R6" s="3" t="s">
        <v>47</v>
      </c>
      <c r="S6" s="4">
        <v>45852</v>
      </c>
    </row>
    <row r="7" spans="1:19" x14ac:dyDescent="0.2">
      <c r="A7" s="3">
        <v>7603</v>
      </c>
      <c r="B7" s="3" t="s">
        <v>57</v>
      </c>
      <c r="C7" s="3" t="s">
        <v>337</v>
      </c>
      <c r="D7" s="3" t="s">
        <v>35</v>
      </c>
      <c r="E7" s="3" t="s">
        <v>22</v>
      </c>
      <c r="F7" s="3"/>
      <c r="G7" s="3" t="s">
        <v>24</v>
      </c>
      <c r="H7" s="3" t="s">
        <v>59</v>
      </c>
      <c r="I7" s="3">
        <v>3</v>
      </c>
      <c r="J7" s="3">
        <v>1</v>
      </c>
      <c r="K7" s="3">
        <v>1</v>
      </c>
      <c r="L7" s="3">
        <v>12</v>
      </c>
      <c r="M7" s="3" t="s">
        <v>36</v>
      </c>
      <c r="N7" s="3" t="s">
        <v>83</v>
      </c>
      <c r="O7" s="4">
        <v>45846</v>
      </c>
      <c r="P7" s="4">
        <v>45870</v>
      </c>
      <c r="Q7" s="3" t="s">
        <v>28</v>
      </c>
      <c r="R7" s="3" t="s">
        <v>47</v>
      </c>
      <c r="S7" s="4">
        <v>45882</v>
      </c>
    </row>
    <row r="8" spans="1:19" x14ac:dyDescent="0.2">
      <c r="A8" s="3">
        <v>7604</v>
      </c>
      <c r="B8" s="3" t="s">
        <v>338</v>
      </c>
      <c r="C8" s="3" t="s">
        <v>339</v>
      </c>
      <c r="D8" s="3" t="s">
        <v>276</v>
      </c>
      <c r="E8" s="3" t="s">
        <v>22</v>
      </c>
      <c r="F8" s="3" t="s">
        <v>44</v>
      </c>
      <c r="G8" s="3" t="s">
        <v>24</v>
      </c>
      <c r="H8" s="3" t="s">
        <v>32</v>
      </c>
      <c r="I8" s="3">
        <v>1</v>
      </c>
      <c r="J8" s="3">
        <v>1</v>
      </c>
      <c r="K8" s="3">
        <v>1</v>
      </c>
      <c r="L8" s="3">
        <v>0</v>
      </c>
      <c r="M8" s="3" t="s">
        <v>38</v>
      </c>
      <c r="N8" s="3" t="s">
        <v>340</v>
      </c>
      <c r="O8" s="4">
        <v>45847</v>
      </c>
      <c r="P8" s="4">
        <v>45847</v>
      </c>
      <c r="Q8" s="3" t="s">
        <v>34</v>
      </c>
      <c r="R8" s="3" t="s">
        <v>24</v>
      </c>
      <c r="S8" s="4">
        <v>45847</v>
      </c>
    </row>
    <row r="9" spans="1:19" x14ac:dyDescent="0.2">
      <c r="A9" s="3">
        <v>7605</v>
      </c>
      <c r="B9" s="3" t="s">
        <v>338</v>
      </c>
      <c r="C9" s="3" t="s">
        <v>339</v>
      </c>
      <c r="D9" s="3" t="s">
        <v>276</v>
      </c>
      <c r="E9" s="3" t="s">
        <v>22</v>
      </c>
      <c r="F9" s="3" t="s">
        <v>44</v>
      </c>
      <c r="G9" s="3" t="s">
        <v>24</v>
      </c>
      <c r="H9" s="3" t="s">
        <v>32</v>
      </c>
      <c r="I9" s="3">
        <v>1</v>
      </c>
      <c r="J9" s="3">
        <v>1</v>
      </c>
      <c r="K9" s="3">
        <v>1</v>
      </c>
      <c r="L9" s="3">
        <v>0</v>
      </c>
      <c r="M9" s="3" t="s">
        <v>38</v>
      </c>
      <c r="N9" s="3" t="s">
        <v>340</v>
      </c>
      <c r="O9" s="4">
        <v>45847</v>
      </c>
      <c r="P9" s="4">
        <v>45847</v>
      </c>
      <c r="Q9" s="3" t="s">
        <v>34</v>
      </c>
      <c r="R9" s="3" t="s">
        <v>24</v>
      </c>
      <c r="S9" s="4">
        <v>45847</v>
      </c>
    </row>
    <row r="10" spans="1:19" x14ac:dyDescent="0.2">
      <c r="A10" s="3">
        <v>7607</v>
      </c>
      <c r="B10" s="3" t="s">
        <v>258</v>
      </c>
      <c r="C10" s="3" t="s">
        <v>259</v>
      </c>
      <c r="D10" s="3" t="s">
        <v>260</v>
      </c>
      <c r="E10" s="3" t="s">
        <v>22</v>
      </c>
      <c r="F10" s="3" t="s">
        <v>229</v>
      </c>
      <c r="G10" s="3" t="s">
        <v>24</v>
      </c>
      <c r="H10" s="3" t="s">
        <v>25</v>
      </c>
      <c r="I10" s="3">
        <v>2</v>
      </c>
      <c r="J10" s="3">
        <v>1</v>
      </c>
      <c r="K10" s="3">
        <v>1</v>
      </c>
      <c r="L10" s="3">
        <v>23</v>
      </c>
      <c r="M10" s="3" t="s">
        <v>38</v>
      </c>
      <c r="N10" s="3" t="s">
        <v>56</v>
      </c>
      <c r="O10" s="4">
        <v>45848</v>
      </c>
      <c r="P10" s="4">
        <v>45857</v>
      </c>
      <c r="Q10" s="3" t="s">
        <v>34</v>
      </c>
      <c r="R10" s="3" t="s">
        <v>24</v>
      </c>
      <c r="S10" s="4">
        <v>45880</v>
      </c>
    </row>
    <row r="11" spans="1:19" x14ac:dyDescent="0.2">
      <c r="A11" s="3">
        <v>7609</v>
      </c>
      <c r="B11" s="3" t="s">
        <v>341</v>
      </c>
      <c r="C11" s="3" t="s">
        <v>342</v>
      </c>
      <c r="D11" s="3" t="s">
        <v>343</v>
      </c>
      <c r="E11" s="3" t="s">
        <v>171</v>
      </c>
      <c r="F11" s="3"/>
      <c r="G11" s="3" t="s">
        <v>24</v>
      </c>
      <c r="H11" s="3" t="s">
        <v>25</v>
      </c>
      <c r="I11" s="3">
        <v>1</v>
      </c>
      <c r="J11" s="3">
        <v>0</v>
      </c>
      <c r="K11" s="3">
        <v>0</v>
      </c>
      <c r="L11" s="3">
        <v>19</v>
      </c>
      <c r="M11" s="3" t="s">
        <v>36</v>
      </c>
      <c r="N11" s="3" t="s">
        <v>56</v>
      </c>
      <c r="O11" s="4">
        <v>45849</v>
      </c>
      <c r="P11" s="4">
        <v>45849</v>
      </c>
      <c r="Q11" s="3" t="s">
        <v>34</v>
      </c>
      <c r="R11" s="3" t="s">
        <v>24</v>
      </c>
      <c r="S11" s="4">
        <v>45868</v>
      </c>
    </row>
    <row r="12" spans="1:19" x14ac:dyDescent="0.2">
      <c r="A12" s="3">
        <v>7610</v>
      </c>
      <c r="B12" s="3" t="s">
        <v>139</v>
      </c>
      <c r="C12" s="3" t="s">
        <v>344</v>
      </c>
      <c r="D12" s="3" t="s">
        <v>65</v>
      </c>
      <c r="E12" s="3" t="s">
        <v>161</v>
      </c>
      <c r="F12" s="3" t="s">
        <v>345</v>
      </c>
      <c r="G12" s="3" t="s">
        <v>24</v>
      </c>
      <c r="H12" s="3" t="s">
        <v>142</v>
      </c>
      <c r="I12" s="3">
        <v>2</v>
      </c>
      <c r="J12" s="3">
        <v>0</v>
      </c>
      <c r="K12" s="3">
        <v>0</v>
      </c>
      <c r="L12" s="3">
        <v>13</v>
      </c>
      <c r="M12" s="3" t="s">
        <v>36</v>
      </c>
      <c r="N12" s="3" t="s">
        <v>346</v>
      </c>
      <c r="O12" s="4">
        <v>45849</v>
      </c>
      <c r="P12" s="4">
        <v>45849</v>
      </c>
      <c r="Q12" s="3" t="s">
        <v>28</v>
      </c>
      <c r="R12" s="3" t="s">
        <v>24</v>
      </c>
      <c r="S12" s="4">
        <v>45862</v>
      </c>
    </row>
    <row r="13" spans="1:19" x14ac:dyDescent="0.2">
      <c r="A13" s="3">
        <v>7611</v>
      </c>
      <c r="B13" s="3" t="s">
        <v>19</v>
      </c>
      <c r="C13" s="3" t="s">
        <v>290</v>
      </c>
      <c r="D13" s="3" t="s">
        <v>31</v>
      </c>
      <c r="E13" s="3" t="s">
        <v>161</v>
      </c>
      <c r="F13" s="3" t="s">
        <v>23</v>
      </c>
      <c r="G13" s="3" t="s">
        <v>24</v>
      </c>
      <c r="H13" s="3" t="s">
        <v>25</v>
      </c>
      <c r="I13" s="3">
        <v>3</v>
      </c>
      <c r="J13" s="3">
        <v>0</v>
      </c>
      <c r="K13" s="3">
        <v>0</v>
      </c>
      <c r="L13" s="3">
        <v>1</v>
      </c>
      <c r="M13" s="3" t="s">
        <v>215</v>
      </c>
      <c r="N13" s="3" t="s">
        <v>294</v>
      </c>
      <c r="O13" s="4">
        <v>45849</v>
      </c>
      <c r="P13" s="4">
        <v>45854</v>
      </c>
      <c r="Q13" s="3" t="s">
        <v>28</v>
      </c>
      <c r="R13" s="3" t="s">
        <v>24</v>
      </c>
      <c r="S13" s="4">
        <v>45855</v>
      </c>
    </row>
    <row r="14" spans="1:19" x14ac:dyDescent="0.2">
      <c r="A14" s="3">
        <v>7612</v>
      </c>
      <c r="B14" s="3" t="s">
        <v>250</v>
      </c>
      <c r="C14" s="3" t="s">
        <v>251</v>
      </c>
      <c r="D14" s="3" t="s">
        <v>89</v>
      </c>
      <c r="E14" s="3" t="s">
        <v>22</v>
      </c>
      <c r="F14" s="3"/>
      <c r="G14" s="3" t="s">
        <v>24</v>
      </c>
      <c r="H14" s="3" t="s">
        <v>25</v>
      </c>
      <c r="I14" s="3">
        <v>2</v>
      </c>
      <c r="J14" s="3">
        <v>1</v>
      </c>
      <c r="K14" s="3">
        <v>1</v>
      </c>
      <c r="L14" s="3">
        <v>12</v>
      </c>
      <c r="M14" s="3" t="s">
        <v>60</v>
      </c>
      <c r="N14" s="3" t="s">
        <v>56</v>
      </c>
      <c r="O14" s="4">
        <v>45852</v>
      </c>
      <c r="P14" s="4">
        <v>45852</v>
      </c>
      <c r="Q14" s="3" t="s">
        <v>34</v>
      </c>
      <c r="R14" s="3" t="s">
        <v>24</v>
      </c>
      <c r="S14" s="4">
        <v>45864</v>
      </c>
    </row>
    <row r="15" spans="1:19" x14ac:dyDescent="0.2">
      <c r="A15" s="3">
        <v>7613</v>
      </c>
      <c r="B15" s="3" t="s">
        <v>347</v>
      </c>
      <c r="C15" s="3" t="s">
        <v>348</v>
      </c>
      <c r="D15" s="3" t="s">
        <v>85</v>
      </c>
      <c r="E15" s="3" t="s">
        <v>61</v>
      </c>
      <c r="F15" s="3" t="s">
        <v>349</v>
      </c>
      <c r="G15" s="3" t="s">
        <v>24</v>
      </c>
      <c r="H15" s="3" t="s">
        <v>350</v>
      </c>
      <c r="I15" s="3">
        <v>6</v>
      </c>
      <c r="J15" s="3">
        <v>1</v>
      </c>
      <c r="K15" s="3">
        <v>0</v>
      </c>
      <c r="L15" s="3">
        <v>29</v>
      </c>
      <c r="M15" s="3" t="s">
        <v>60</v>
      </c>
      <c r="N15" s="3" t="s">
        <v>56</v>
      </c>
      <c r="O15" s="4">
        <v>45852</v>
      </c>
      <c r="P15" s="4">
        <v>45861</v>
      </c>
      <c r="Q15" s="3" t="s">
        <v>28</v>
      </c>
      <c r="R15" s="3" t="s">
        <v>24</v>
      </c>
      <c r="S15" s="4">
        <v>45890</v>
      </c>
    </row>
    <row r="16" spans="1:19" x14ac:dyDescent="0.2">
      <c r="A16" s="3">
        <v>7614</v>
      </c>
      <c r="B16" s="3" t="s">
        <v>261</v>
      </c>
      <c r="C16" s="3" t="s">
        <v>262</v>
      </c>
      <c r="D16" s="3" t="s">
        <v>205</v>
      </c>
      <c r="E16" s="3" t="s">
        <v>22</v>
      </c>
      <c r="F16" s="3"/>
      <c r="G16" s="3" t="s">
        <v>24</v>
      </c>
      <c r="H16" s="3" t="s">
        <v>25</v>
      </c>
      <c r="I16" s="3">
        <v>2</v>
      </c>
      <c r="J16" s="3">
        <v>1</v>
      </c>
      <c r="K16" s="3">
        <v>1</v>
      </c>
      <c r="L16" s="3">
        <v>21</v>
      </c>
      <c r="M16" s="3" t="s">
        <v>351</v>
      </c>
      <c r="N16" s="3" t="s">
        <v>352</v>
      </c>
      <c r="O16" s="4">
        <v>45852</v>
      </c>
      <c r="P16" s="4">
        <v>45855</v>
      </c>
      <c r="Q16" s="3" t="s">
        <v>28</v>
      </c>
      <c r="R16" s="3" t="s">
        <v>24</v>
      </c>
      <c r="S16" s="4">
        <v>45876</v>
      </c>
    </row>
    <row r="17" spans="1:19" x14ac:dyDescent="0.2">
      <c r="A17" s="3">
        <v>7616</v>
      </c>
      <c r="B17" s="3" t="s">
        <v>57</v>
      </c>
      <c r="C17" s="3" t="s">
        <v>353</v>
      </c>
      <c r="D17" s="3" t="s">
        <v>35</v>
      </c>
      <c r="E17" s="3" t="s">
        <v>22</v>
      </c>
      <c r="F17" s="3" t="s">
        <v>349</v>
      </c>
      <c r="G17" s="3" t="s">
        <v>24</v>
      </c>
      <c r="H17" s="3" t="s">
        <v>59</v>
      </c>
      <c r="I17" s="3">
        <v>3</v>
      </c>
      <c r="J17" s="3">
        <v>1</v>
      </c>
      <c r="K17" s="3">
        <v>1</v>
      </c>
      <c r="L17" s="3">
        <v>3</v>
      </c>
      <c r="M17" s="3" t="s">
        <v>36</v>
      </c>
      <c r="N17" s="3" t="s">
        <v>103</v>
      </c>
      <c r="O17" s="4">
        <v>45853</v>
      </c>
      <c r="P17" s="4">
        <v>45894</v>
      </c>
      <c r="Q17" s="3" t="s">
        <v>28</v>
      </c>
      <c r="R17" s="3" t="s">
        <v>24</v>
      </c>
      <c r="S17" s="4">
        <v>45897</v>
      </c>
    </row>
    <row r="18" spans="1:19" x14ac:dyDescent="0.2">
      <c r="A18" s="3">
        <v>7617</v>
      </c>
      <c r="B18" s="3" t="s">
        <v>57</v>
      </c>
      <c r="C18" s="3" t="s">
        <v>353</v>
      </c>
      <c r="D18" s="3" t="s">
        <v>35</v>
      </c>
      <c r="E18" s="3" t="s">
        <v>22</v>
      </c>
      <c r="F18" s="3" t="s">
        <v>349</v>
      </c>
      <c r="G18" s="3" t="s">
        <v>24</v>
      </c>
      <c r="H18" s="3" t="s">
        <v>59</v>
      </c>
      <c r="I18" s="3">
        <v>3</v>
      </c>
      <c r="J18" s="3">
        <v>1</v>
      </c>
      <c r="K18" s="3">
        <v>1</v>
      </c>
      <c r="L18" s="3">
        <v>21</v>
      </c>
      <c r="M18" s="3" t="s">
        <v>60</v>
      </c>
      <c r="N18" s="3" t="s">
        <v>354</v>
      </c>
      <c r="O18" s="4">
        <v>45853</v>
      </c>
      <c r="P18" s="4">
        <v>45862</v>
      </c>
      <c r="Q18" s="3" t="s">
        <v>28</v>
      </c>
      <c r="R18" s="3" t="s">
        <v>24</v>
      </c>
      <c r="S18" s="4">
        <v>45883</v>
      </c>
    </row>
    <row r="19" spans="1:19" x14ac:dyDescent="0.2">
      <c r="A19" s="3">
        <v>7619</v>
      </c>
      <c r="B19" s="3" t="s">
        <v>208</v>
      </c>
      <c r="C19" s="3" t="s">
        <v>209</v>
      </c>
      <c r="D19" s="3" t="s">
        <v>89</v>
      </c>
      <c r="E19" s="3" t="s">
        <v>22</v>
      </c>
      <c r="F19" s="3" t="s">
        <v>23</v>
      </c>
      <c r="G19" s="3" t="s">
        <v>24</v>
      </c>
      <c r="H19" s="3" t="s">
        <v>211</v>
      </c>
      <c r="I19" s="3">
        <v>1</v>
      </c>
      <c r="J19" s="3">
        <v>1</v>
      </c>
      <c r="K19" s="3">
        <v>1</v>
      </c>
      <c r="L19" s="3">
        <v>0</v>
      </c>
      <c r="M19" s="3" t="s">
        <v>38</v>
      </c>
      <c r="N19" s="3" t="s">
        <v>340</v>
      </c>
      <c r="O19" s="4">
        <v>45853</v>
      </c>
      <c r="P19" s="4">
        <v>45853</v>
      </c>
      <c r="Q19" s="3" t="s">
        <v>34</v>
      </c>
      <c r="R19" s="3" t="s">
        <v>24</v>
      </c>
      <c r="S19" s="4">
        <v>45853</v>
      </c>
    </row>
    <row r="20" spans="1:19" x14ac:dyDescent="0.2">
      <c r="A20" s="3">
        <v>7620</v>
      </c>
      <c r="B20" s="3" t="s">
        <v>208</v>
      </c>
      <c r="C20" s="3" t="s">
        <v>209</v>
      </c>
      <c r="D20" s="3" t="s">
        <v>89</v>
      </c>
      <c r="E20" s="3" t="s">
        <v>22</v>
      </c>
      <c r="F20" s="3" t="s">
        <v>23</v>
      </c>
      <c r="G20" s="3" t="s">
        <v>24</v>
      </c>
      <c r="H20" s="3" t="s">
        <v>211</v>
      </c>
      <c r="I20" s="3">
        <v>2</v>
      </c>
      <c r="J20" s="3">
        <v>1</v>
      </c>
      <c r="K20" s="3">
        <v>1</v>
      </c>
      <c r="L20" s="3">
        <v>14</v>
      </c>
      <c r="M20" s="3" t="s">
        <v>60</v>
      </c>
      <c r="N20" s="3" t="s">
        <v>340</v>
      </c>
      <c r="O20" s="4">
        <v>45853</v>
      </c>
      <c r="P20" s="4">
        <v>45876</v>
      </c>
      <c r="Q20" s="3" t="s">
        <v>34</v>
      </c>
      <c r="R20" s="3" t="s">
        <v>24</v>
      </c>
      <c r="S20" s="4">
        <v>45890</v>
      </c>
    </row>
    <row r="21" spans="1:19" x14ac:dyDescent="0.2">
      <c r="A21" s="3">
        <v>7621</v>
      </c>
      <c r="B21" s="3" t="s">
        <v>208</v>
      </c>
      <c r="C21" s="3" t="s">
        <v>209</v>
      </c>
      <c r="D21" s="3" t="s">
        <v>31</v>
      </c>
      <c r="E21" s="3" t="s">
        <v>22</v>
      </c>
      <c r="F21" s="3" t="s">
        <v>321</v>
      </c>
      <c r="G21" s="3" t="s">
        <v>24</v>
      </c>
      <c r="H21" s="3" t="s">
        <v>211</v>
      </c>
      <c r="I21" s="3">
        <v>1</v>
      </c>
      <c r="J21" s="3">
        <v>1</v>
      </c>
      <c r="K21" s="3">
        <v>1</v>
      </c>
      <c r="L21" s="3">
        <v>27</v>
      </c>
      <c r="M21" s="3" t="s">
        <v>36</v>
      </c>
      <c r="N21" s="3" t="s">
        <v>285</v>
      </c>
      <c r="O21" s="4">
        <v>45853</v>
      </c>
      <c r="P21" s="4">
        <v>45925</v>
      </c>
      <c r="Q21" s="3" t="s">
        <v>34</v>
      </c>
      <c r="R21" s="3" t="s">
        <v>24</v>
      </c>
      <c r="S21" s="4">
        <v>45952</v>
      </c>
    </row>
    <row r="22" spans="1:19" x14ac:dyDescent="0.2">
      <c r="A22" s="3">
        <v>7622</v>
      </c>
      <c r="B22" s="3" t="s">
        <v>175</v>
      </c>
      <c r="C22" s="3" t="s">
        <v>176</v>
      </c>
      <c r="D22" s="3" t="s">
        <v>21</v>
      </c>
      <c r="E22" s="3" t="s">
        <v>22</v>
      </c>
      <c r="F22" s="3"/>
      <c r="G22" s="3" t="s">
        <v>24</v>
      </c>
      <c r="H22" s="3" t="s">
        <v>178</v>
      </c>
      <c r="I22" s="3">
        <v>1</v>
      </c>
      <c r="J22" s="3">
        <v>1</v>
      </c>
      <c r="K22" s="3">
        <v>1</v>
      </c>
      <c r="L22" s="3">
        <v>6</v>
      </c>
      <c r="M22" s="3" t="s">
        <v>36</v>
      </c>
      <c r="N22" s="3" t="s">
        <v>285</v>
      </c>
      <c r="O22" s="4">
        <v>45854</v>
      </c>
      <c r="P22" s="4">
        <v>45854</v>
      </c>
      <c r="Q22" s="3" t="s">
        <v>28</v>
      </c>
      <c r="R22" s="3" t="s">
        <v>24</v>
      </c>
      <c r="S22" s="4">
        <v>45860</v>
      </c>
    </row>
    <row r="23" spans="1:19" x14ac:dyDescent="0.2">
      <c r="A23" s="3">
        <v>7623</v>
      </c>
      <c r="B23" s="3" t="s">
        <v>355</v>
      </c>
      <c r="C23" s="3" t="s">
        <v>356</v>
      </c>
      <c r="D23" s="3" t="s">
        <v>35</v>
      </c>
      <c r="E23" s="3" t="s">
        <v>22</v>
      </c>
      <c r="F23" s="3" t="s">
        <v>229</v>
      </c>
      <c r="G23" s="3" t="s">
        <v>24</v>
      </c>
      <c r="H23" s="3" t="s">
        <v>25</v>
      </c>
      <c r="I23" s="3">
        <v>1</v>
      </c>
      <c r="J23" s="3">
        <v>1</v>
      </c>
      <c r="K23" s="3">
        <v>1</v>
      </c>
      <c r="L23" s="3">
        <v>1</v>
      </c>
      <c r="M23" s="3" t="s">
        <v>38</v>
      </c>
      <c r="N23" s="3" t="s">
        <v>252</v>
      </c>
      <c r="O23" s="4">
        <v>45854</v>
      </c>
      <c r="P23" s="4">
        <v>45854</v>
      </c>
      <c r="Q23" s="3" t="s">
        <v>34</v>
      </c>
      <c r="R23" s="3" t="s">
        <v>24</v>
      </c>
      <c r="S23" s="4">
        <v>45855</v>
      </c>
    </row>
    <row r="24" spans="1:19" x14ac:dyDescent="0.2">
      <c r="A24" s="3">
        <v>7624</v>
      </c>
      <c r="B24" s="3" t="s">
        <v>355</v>
      </c>
      <c r="C24" s="3" t="s">
        <v>356</v>
      </c>
      <c r="D24" s="3" t="s">
        <v>35</v>
      </c>
      <c r="E24" s="3" t="s">
        <v>22</v>
      </c>
      <c r="F24" s="3" t="s">
        <v>229</v>
      </c>
      <c r="G24" s="3" t="s">
        <v>24</v>
      </c>
      <c r="H24" s="3" t="s">
        <v>25</v>
      </c>
      <c r="I24" s="3">
        <v>2</v>
      </c>
      <c r="J24" s="3">
        <v>1</v>
      </c>
      <c r="K24" s="3">
        <v>1</v>
      </c>
      <c r="L24" s="3">
        <v>6</v>
      </c>
      <c r="M24" s="3" t="s">
        <v>38</v>
      </c>
      <c r="N24" s="3" t="s">
        <v>56</v>
      </c>
      <c r="O24" s="4">
        <v>45854</v>
      </c>
      <c r="P24" s="4">
        <v>45854</v>
      </c>
      <c r="Q24" s="3" t="s">
        <v>34</v>
      </c>
      <c r="R24" s="3" t="s">
        <v>24</v>
      </c>
      <c r="S24" s="4">
        <v>45860</v>
      </c>
    </row>
    <row r="25" spans="1:19" x14ac:dyDescent="0.2">
      <c r="A25" s="3">
        <v>7625</v>
      </c>
      <c r="B25" s="3" t="s">
        <v>355</v>
      </c>
      <c r="C25" s="3" t="s">
        <v>356</v>
      </c>
      <c r="D25" s="3" t="s">
        <v>35</v>
      </c>
      <c r="E25" s="3" t="s">
        <v>22</v>
      </c>
      <c r="F25" s="3" t="s">
        <v>229</v>
      </c>
      <c r="G25" s="3" t="s">
        <v>24</v>
      </c>
      <c r="H25" s="3" t="s">
        <v>25</v>
      </c>
      <c r="I25" s="3">
        <v>1</v>
      </c>
      <c r="J25" s="3">
        <v>1</v>
      </c>
      <c r="K25" s="3">
        <v>1</v>
      </c>
      <c r="L25" s="3">
        <v>0</v>
      </c>
      <c r="M25" s="3" t="s">
        <v>38</v>
      </c>
      <c r="N25" s="3" t="s">
        <v>56</v>
      </c>
      <c r="O25" s="4">
        <v>45854</v>
      </c>
      <c r="P25" s="4">
        <v>45855</v>
      </c>
      <c r="Q25" s="3" t="s">
        <v>34</v>
      </c>
      <c r="R25" s="3" t="s">
        <v>24</v>
      </c>
      <c r="S25" s="4">
        <v>45855</v>
      </c>
    </row>
    <row r="26" spans="1:19" x14ac:dyDescent="0.2">
      <c r="A26" s="3">
        <v>7626</v>
      </c>
      <c r="B26" s="3" t="s">
        <v>355</v>
      </c>
      <c r="C26" s="3" t="s">
        <v>356</v>
      </c>
      <c r="D26" s="3" t="s">
        <v>35</v>
      </c>
      <c r="E26" s="3" t="s">
        <v>22</v>
      </c>
      <c r="F26" s="3" t="s">
        <v>229</v>
      </c>
      <c r="G26" s="3" t="s">
        <v>24</v>
      </c>
      <c r="H26" s="3" t="s">
        <v>25</v>
      </c>
      <c r="I26" s="3">
        <v>1</v>
      </c>
      <c r="J26" s="3">
        <v>1</v>
      </c>
      <c r="K26" s="3">
        <v>1</v>
      </c>
      <c r="L26" s="3">
        <v>1</v>
      </c>
      <c r="M26" s="3" t="s">
        <v>36</v>
      </c>
      <c r="N26" s="3" t="s">
        <v>255</v>
      </c>
      <c r="O26" s="4">
        <v>45854</v>
      </c>
      <c r="P26" s="4">
        <v>45854</v>
      </c>
      <c r="Q26" s="3" t="s">
        <v>34</v>
      </c>
      <c r="R26" s="3" t="s">
        <v>24</v>
      </c>
      <c r="S26" s="4">
        <v>45855</v>
      </c>
    </row>
    <row r="27" spans="1:19" x14ac:dyDescent="0.2">
      <c r="A27" s="3">
        <v>7627</v>
      </c>
      <c r="B27" s="3" t="s">
        <v>355</v>
      </c>
      <c r="C27" s="3" t="s">
        <v>356</v>
      </c>
      <c r="D27" s="3" t="s">
        <v>31</v>
      </c>
      <c r="E27" s="3" t="s">
        <v>22</v>
      </c>
      <c r="F27" s="3" t="s">
        <v>229</v>
      </c>
      <c r="G27" s="3" t="s">
        <v>24</v>
      </c>
      <c r="H27" s="3" t="s">
        <v>25</v>
      </c>
      <c r="I27" s="3">
        <v>1</v>
      </c>
      <c r="J27" s="3">
        <v>1</v>
      </c>
      <c r="K27" s="3">
        <v>1</v>
      </c>
      <c r="L27" s="3">
        <v>1</v>
      </c>
      <c r="M27" s="3" t="s">
        <v>36</v>
      </c>
      <c r="N27" s="3" t="s">
        <v>357</v>
      </c>
      <c r="O27" s="4">
        <v>45854</v>
      </c>
      <c r="P27" s="4">
        <v>45854</v>
      </c>
      <c r="Q27" s="3" t="s">
        <v>34</v>
      </c>
      <c r="R27" s="3" t="s">
        <v>24</v>
      </c>
      <c r="S27" s="4">
        <v>45855</v>
      </c>
    </row>
    <row r="28" spans="1:19" x14ac:dyDescent="0.2">
      <c r="A28" s="3">
        <v>7628</v>
      </c>
      <c r="B28" s="3" t="s">
        <v>355</v>
      </c>
      <c r="C28" s="3" t="s">
        <v>356</v>
      </c>
      <c r="D28" s="3" t="s">
        <v>31</v>
      </c>
      <c r="E28" s="3" t="s">
        <v>22</v>
      </c>
      <c r="F28" s="3" t="s">
        <v>229</v>
      </c>
      <c r="G28" s="3" t="s">
        <v>24</v>
      </c>
      <c r="H28" s="3" t="s">
        <v>25</v>
      </c>
      <c r="I28" s="3">
        <v>1</v>
      </c>
      <c r="J28" s="3">
        <v>1</v>
      </c>
      <c r="K28" s="3">
        <v>1</v>
      </c>
      <c r="L28" s="3">
        <v>1</v>
      </c>
      <c r="M28" s="3" t="s">
        <v>38</v>
      </c>
      <c r="N28" s="3" t="s">
        <v>357</v>
      </c>
      <c r="O28" s="4">
        <v>45854</v>
      </c>
      <c r="P28" s="4">
        <v>45854</v>
      </c>
      <c r="Q28" s="3" t="s">
        <v>34</v>
      </c>
      <c r="R28" s="3" t="s">
        <v>24</v>
      </c>
      <c r="S28" s="4">
        <v>45855</v>
      </c>
    </row>
    <row r="29" spans="1:19" x14ac:dyDescent="0.2">
      <c r="A29" s="3">
        <v>7629</v>
      </c>
      <c r="B29" s="3" t="s">
        <v>355</v>
      </c>
      <c r="C29" s="3" t="s">
        <v>356</v>
      </c>
      <c r="D29" s="3" t="s">
        <v>31</v>
      </c>
      <c r="E29" s="3" t="s">
        <v>22</v>
      </c>
      <c r="F29" s="3" t="s">
        <v>229</v>
      </c>
      <c r="G29" s="3" t="s">
        <v>24</v>
      </c>
      <c r="H29" s="3" t="s">
        <v>25</v>
      </c>
      <c r="I29" s="3">
        <v>1</v>
      </c>
      <c r="J29" s="3">
        <v>1</v>
      </c>
      <c r="K29" s="3">
        <v>1</v>
      </c>
      <c r="L29" s="3">
        <v>1</v>
      </c>
      <c r="M29" s="3" t="s">
        <v>38</v>
      </c>
      <c r="N29" s="3" t="s">
        <v>357</v>
      </c>
      <c r="O29" s="4">
        <v>45854</v>
      </c>
      <c r="P29" s="4">
        <v>45854</v>
      </c>
      <c r="Q29" s="3" t="s">
        <v>34</v>
      </c>
      <c r="R29" s="3" t="s">
        <v>24</v>
      </c>
      <c r="S29" s="4">
        <v>45855</v>
      </c>
    </row>
    <row r="30" spans="1:19" x14ac:dyDescent="0.2">
      <c r="A30" s="3">
        <v>7630</v>
      </c>
      <c r="B30" s="3" t="s">
        <v>355</v>
      </c>
      <c r="C30" s="3" t="s">
        <v>356</v>
      </c>
      <c r="D30" s="3" t="s">
        <v>31</v>
      </c>
      <c r="E30" s="3" t="s">
        <v>22</v>
      </c>
      <c r="F30" s="3" t="s">
        <v>229</v>
      </c>
      <c r="G30" s="3" t="s">
        <v>24</v>
      </c>
      <c r="H30" s="3" t="s">
        <v>25</v>
      </c>
      <c r="I30" s="3">
        <v>1</v>
      </c>
      <c r="J30" s="3">
        <v>1</v>
      </c>
      <c r="K30" s="3">
        <v>1</v>
      </c>
      <c r="L30" s="3">
        <v>1</v>
      </c>
      <c r="M30" s="3" t="s">
        <v>38</v>
      </c>
      <c r="N30" s="3" t="s">
        <v>357</v>
      </c>
      <c r="O30" s="4">
        <v>45854</v>
      </c>
      <c r="P30" s="4">
        <v>45854</v>
      </c>
      <c r="Q30" s="3" t="s">
        <v>34</v>
      </c>
      <c r="R30" s="3" t="s">
        <v>24</v>
      </c>
      <c r="S30" s="4">
        <v>45855</v>
      </c>
    </row>
    <row r="31" spans="1:19" x14ac:dyDescent="0.2">
      <c r="A31" s="3">
        <v>7631</v>
      </c>
      <c r="B31" s="3" t="s">
        <v>355</v>
      </c>
      <c r="C31" s="3" t="s">
        <v>356</v>
      </c>
      <c r="D31" s="3" t="s">
        <v>31</v>
      </c>
      <c r="E31" s="3" t="s">
        <v>22</v>
      </c>
      <c r="F31" s="3" t="s">
        <v>229</v>
      </c>
      <c r="G31" s="3" t="s">
        <v>24</v>
      </c>
      <c r="H31" s="3" t="s">
        <v>25</v>
      </c>
      <c r="I31" s="3">
        <v>1</v>
      </c>
      <c r="J31" s="3">
        <v>1</v>
      </c>
      <c r="K31" s="3">
        <v>1</v>
      </c>
      <c r="L31" s="3">
        <v>1</v>
      </c>
      <c r="M31" s="3" t="s">
        <v>38</v>
      </c>
      <c r="N31" s="3" t="s">
        <v>207</v>
      </c>
      <c r="O31" s="4">
        <v>45854</v>
      </c>
      <c r="P31" s="4">
        <v>45854</v>
      </c>
      <c r="Q31" s="3" t="s">
        <v>34</v>
      </c>
      <c r="R31" s="3" t="s">
        <v>24</v>
      </c>
      <c r="S31" s="4">
        <v>45855</v>
      </c>
    </row>
    <row r="32" spans="1:19" x14ac:dyDescent="0.2">
      <c r="A32" s="3">
        <v>7632</v>
      </c>
      <c r="B32" s="3" t="s">
        <v>355</v>
      </c>
      <c r="C32" s="3" t="s">
        <v>356</v>
      </c>
      <c r="D32" s="3" t="s">
        <v>205</v>
      </c>
      <c r="E32" s="3" t="s">
        <v>22</v>
      </c>
      <c r="F32" s="3" t="s">
        <v>70</v>
      </c>
      <c r="G32" s="3" t="s">
        <v>24</v>
      </c>
      <c r="H32" s="3" t="s">
        <v>25</v>
      </c>
      <c r="I32" s="3">
        <v>1</v>
      </c>
      <c r="J32" s="3">
        <v>1</v>
      </c>
      <c r="K32" s="3">
        <v>1</v>
      </c>
      <c r="L32" s="3">
        <v>1</v>
      </c>
      <c r="M32" s="3" t="s">
        <v>26</v>
      </c>
      <c r="N32" s="3" t="s">
        <v>358</v>
      </c>
      <c r="O32" s="4">
        <v>45854</v>
      </c>
      <c r="P32" s="4">
        <v>45854</v>
      </c>
      <c r="Q32" s="3" t="s">
        <v>34</v>
      </c>
      <c r="R32" s="3" t="s">
        <v>24</v>
      </c>
      <c r="S32" s="4">
        <v>45855</v>
      </c>
    </row>
    <row r="33" spans="1:19" x14ac:dyDescent="0.2">
      <c r="A33" s="3">
        <v>7633</v>
      </c>
      <c r="B33" s="3" t="s">
        <v>355</v>
      </c>
      <c r="C33" s="3" t="s">
        <v>356</v>
      </c>
      <c r="D33" s="3" t="s">
        <v>205</v>
      </c>
      <c r="E33" s="3" t="s">
        <v>22</v>
      </c>
      <c r="F33" s="3" t="s">
        <v>70</v>
      </c>
      <c r="G33" s="3" t="s">
        <v>24</v>
      </c>
      <c r="H33" s="3" t="s">
        <v>25</v>
      </c>
      <c r="I33" s="3">
        <v>1</v>
      </c>
      <c r="J33" s="3">
        <v>1</v>
      </c>
      <c r="K33" s="3">
        <v>1</v>
      </c>
      <c r="L33" s="3">
        <v>0</v>
      </c>
      <c r="M33" s="3" t="s">
        <v>38</v>
      </c>
      <c r="N33" s="3" t="s">
        <v>320</v>
      </c>
      <c r="O33" s="4">
        <v>45854</v>
      </c>
      <c r="P33" s="4">
        <v>45855</v>
      </c>
      <c r="Q33" s="3" t="s">
        <v>34</v>
      </c>
      <c r="R33" s="3" t="s">
        <v>24</v>
      </c>
      <c r="S33" s="4">
        <v>45855</v>
      </c>
    </row>
    <row r="34" spans="1:19" x14ac:dyDescent="0.2">
      <c r="A34" s="3">
        <v>7634</v>
      </c>
      <c r="B34" s="3" t="s">
        <v>240</v>
      </c>
      <c r="C34" s="3" t="s">
        <v>359</v>
      </c>
      <c r="D34" s="3" t="s">
        <v>85</v>
      </c>
      <c r="E34" s="3" t="s">
        <v>217</v>
      </c>
      <c r="F34" s="3" t="s">
        <v>229</v>
      </c>
      <c r="G34" s="3" t="s">
        <v>24</v>
      </c>
      <c r="H34" s="3" t="s">
        <v>132</v>
      </c>
      <c r="I34" s="3">
        <v>2</v>
      </c>
      <c r="J34" s="3">
        <v>0</v>
      </c>
      <c r="K34" s="3">
        <v>0</v>
      </c>
      <c r="L34" s="3">
        <v>21</v>
      </c>
      <c r="M34" s="3" t="s">
        <v>38</v>
      </c>
      <c r="N34" s="3" t="s">
        <v>266</v>
      </c>
      <c r="O34" s="4">
        <v>45854</v>
      </c>
      <c r="P34" s="4">
        <v>45860</v>
      </c>
      <c r="Q34" s="3" t="s">
        <v>41</v>
      </c>
      <c r="R34" s="3" t="s">
        <v>47</v>
      </c>
      <c r="S34" s="4">
        <v>45881</v>
      </c>
    </row>
    <row r="35" spans="1:19" x14ac:dyDescent="0.2">
      <c r="A35" s="3">
        <v>7635</v>
      </c>
      <c r="B35" s="3" t="s">
        <v>355</v>
      </c>
      <c r="C35" s="3" t="s">
        <v>356</v>
      </c>
      <c r="D35" s="3" t="s">
        <v>35</v>
      </c>
      <c r="E35" s="3" t="s">
        <v>22</v>
      </c>
      <c r="F35" s="3"/>
      <c r="G35" s="3" t="s">
        <v>24</v>
      </c>
      <c r="H35" s="3" t="s">
        <v>25</v>
      </c>
      <c r="I35" s="3">
        <v>1</v>
      </c>
      <c r="J35" s="3">
        <v>1</v>
      </c>
      <c r="K35" s="3">
        <v>1</v>
      </c>
      <c r="L35" s="3">
        <v>0</v>
      </c>
      <c r="M35" s="3" t="s">
        <v>108</v>
      </c>
      <c r="N35" s="3" t="s">
        <v>56</v>
      </c>
      <c r="O35" s="4">
        <v>45855</v>
      </c>
      <c r="P35" s="4">
        <v>45855</v>
      </c>
      <c r="Q35" s="3" t="s">
        <v>34</v>
      </c>
      <c r="R35" s="3" t="s">
        <v>24</v>
      </c>
      <c r="S35" s="4">
        <v>45855</v>
      </c>
    </row>
    <row r="36" spans="1:19" x14ac:dyDescent="0.2">
      <c r="A36" s="3">
        <v>7636</v>
      </c>
      <c r="B36" s="3" t="s">
        <v>360</v>
      </c>
      <c r="C36" s="3" t="s">
        <v>361</v>
      </c>
      <c r="D36" s="3" t="s">
        <v>362</v>
      </c>
      <c r="E36" s="3" t="s">
        <v>22</v>
      </c>
      <c r="F36" s="3" t="s">
        <v>44</v>
      </c>
      <c r="G36" s="3" t="s">
        <v>24</v>
      </c>
      <c r="H36" s="3" t="s">
        <v>132</v>
      </c>
      <c r="I36" s="3">
        <v>1</v>
      </c>
      <c r="J36" s="3">
        <v>1</v>
      </c>
      <c r="K36" s="3">
        <v>1</v>
      </c>
      <c r="L36" s="3">
        <v>1</v>
      </c>
      <c r="M36" s="3" t="s">
        <v>36</v>
      </c>
      <c r="N36" s="3" t="s">
        <v>363</v>
      </c>
      <c r="O36" s="4">
        <v>45855</v>
      </c>
      <c r="P36" s="4">
        <v>45860</v>
      </c>
      <c r="Q36" s="3" t="s">
        <v>34</v>
      </c>
      <c r="R36" s="3" t="s">
        <v>24</v>
      </c>
      <c r="S36" s="4">
        <v>45861</v>
      </c>
    </row>
    <row r="37" spans="1:19" x14ac:dyDescent="0.2">
      <c r="A37" s="3">
        <v>7637</v>
      </c>
      <c r="B37" s="3" t="s">
        <v>19</v>
      </c>
      <c r="C37" s="3" t="s">
        <v>290</v>
      </c>
      <c r="D37" s="3" t="s">
        <v>35</v>
      </c>
      <c r="E37" s="3" t="s">
        <v>22</v>
      </c>
      <c r="F37" s="3" t="s">
        <v>70</v>
      </c>
      <c r="G37" s="3" t="s">
        <v>24</v>
      </c>
      <c r="H37" s="3" t="s">
        <v>25</v>
      </c>
      <c r="I37" s="3">
        <v>1</v>
      </c>
      <c r="J37" s="3">
        <v>1</v>
      </c>
      <c r="K37" s="3">
        <v>1</v>
      </c>
      <c r="L37" s="3">
        <v>0</v>
      </c>
      <c r="M37" s="3" t="s">
        <v>38</v>
      </c>
      <c r="N37" s="3" t="s">
        <v>270</v>
      </c>
      <c r="O37" s="4">
        <v>45855</v>
      </c>
      <c r="P37" s="4">
        <v>45855</v>
      </c>
      <c r="Q37" s="3" t="s">
        <v>34</v>
      </c>
      <c r="R37" s="3" t="s">
        <v>24</v>
      </c>
      <c r="S37" s="4">
        <v>45855</v>
      </c>
    </row>
    <row r="38" spans="1:19" x14ac:dyDescent="0.2">
      <c r="A38" s="3">
        <v>7638</v>
      </c>
      <c r="B38" s="3" t="s">
        <v>63</v>
      </c>
      <c r="C38" s="3" t="s">
        <v>64</v>
      </c>
      <c r="D38" s="3" t="s">
        <v>65</v>
      </c>
      <c r="E38" s="3" t="s">
        <v>61</v>
      </c>
      <c r="F38" s="3" t="s">
        <v>44</v>
      </c>
      <c r="G38" s="3" t="s">
        <v>24</v>
      </c>
      <c r="H38" s="3" t="s">
        <v>66</v>
      </c>
      <c r="I38" s="3">
        <v>3</v>
      </c>
      <c r="J38" s="3">
        <v>1</v>
      </c>
      <c r="K38" s="3">
        <v>1</v>
      </c>
      <c r="L38" s="3">
        <v>50</v>
      </c>
      <c r="M38" s="3" t="s">
        <v>36</v>
      </c>
      <c r="N38" s="3" t="s">
        <v>86</v>
      </c>
      <c r="O38" s="4">
        <v>45855</v>
      </c>
      <c r="P38" s="4">
        <v>45860</v>
      </c>
      <c r="Q38" s="3" t="s">
        <v>28</v>
      </c>
      <c r="R38" s="3" t="s">
        <v>24</v>
      </c>
      <c r="S38" s="4">
        <v>45910</v>
      </c>
    </row>
    <row r="39" spans="1:19" x14ac:dyDescent="0.2">
      <c r="A39" s="3">
        <v>7639</v>
      </c>
      <c r="B39" s="3" t="s">
        <v>19</v>
      </c>
      <c r="C39" s="3" t="s">
        <v>364</v>
      </c>
      <c r="D39" s="3" t="s">
        <v>137</v>
      </c>
      <c r="E39" s="3" t="s">
        <v>22</v>
      </c>
      <c r="F39" s="3" t="s">
        <v>23</v>
      </c>
      <c r="G39" s="3" t="s">
        <v>24</v>
      </c>
      <c r="H39" s="3" t="s">
        <v>25</v>
      </c>
      <c r="I39" s="3">
        <v>1</v>
      </c>
      <c r="J39" s="3">
        <v>1</v>
      </c>
      <c r="K39" s="3">
        <v>1</v>
      </c>
      <c r="L39" s="3">
        <v>0</v>
      </c>
      <c r="M39" s="3" t="s">
        <v>36</v>
      </c>
      <c r="N39" s="3" t="s">
        <v>51</v>
      </c>
      <c r="O39" s="4">
        <v>45855</v>
      </c>
      <c r="P39" s="4">
        <v>45860</v>
      </c>
      <c r="Q39" s="3" t="s">
        <v>28</v>
      </c>
      <c r="R39" s="3" t="s">
        <v>24</v>
      </c>
      <c r="S39" s="4">
        <v>45860</v>
      </c>
    </row>
    <row r="40" spans="1:19" x14ac:dyDescent="0.2">
      <c r="A40" s="3">
        <v>7641</v>
      </c>
      <c r="B40" s="3" t="s">
        <v>116</v>
      </c>
      <c r="C40" s="3" t="s">
        <v>365</v>
      </c>
      <c r="D40" s="3" t="s">
        <v>118</v>
      </c>
      <c r="E40" s="3" t="s">
        <v>161</v>
      </c>
      <c r="F40" s="3" t="s">
        <v>44</v>
      </c>
      <c r="G40" s="3" t="s">
        <v>24</v>
      </c>
      <c r="H40" s="3" t="s">
        <v>25</v>
      </c>
      <c r="I40" s="3">
        <v>2</v>
      </c>
      <c r="J40" s="3">
        <v>0</v>
      </c>
      <c r="K40" s="3">
        <v>0</v>
      </c>
      <c r="L40" s="3">
        <v>8</v>
      </c>
      <c r="M40" s="3" t="s">
        <v>36</v>
      </c>
      <c r="N40" s="3" t="s">
        <v>83</v>
      </c>
      <c r="O40" s="4">
        <v>45856</v>
      </c>
      <c r="P40" s="4">
        <v>45859</v>
      </c>
      <c r="Q40" s="3" t="s">
        <v>28</v>
      </c>
      <c r="R40" s="3" t="s">
        <v>24</v>
      </c>
      <c r="S40" s="4">
        <v>45867</v>
      </c>
    </row>
    <row r="41" spans="1:19" x14ac:dyDescent="0.2">
      <c r="A41" s="3">
        <v>7646</v>
      </c>
      <c r="B41" s="3" t="s">
        <v>151</v>
      </c>
      <c r="C41" s="3" t="s">
        <v>366</v>
      </c>
      <c r="D41" s="3" t="s">
        <v>145</v>
      </c>
      <c r="E41" s="3" t="s">
        <v>171</v>
      </c>
      <c r="F41" s="3" t="s">
        <v>44</v>
      </c>
      <c r="G41" s="3" t="s">
        <v>24</v>
      </c>
      <c r="H41" s="3" t="s">
        <v>66</v>
      </c>
      <c r="I41" s="3">
        <v>2</v>
      </c>
      <c r="J41" s="3">
        <v>0</v>
      </c>
      <c r="K41" s="3">
        <v>0</v>
      </c>
      <c r="L41" s="3">
        <v>34</v>
      </c>
      <c r="M41" s="3" t="s">
        <v>36</v>
      </c>
      <c r="N41" s="3" t="s">
        <v>288</v>
      </c>
      <c r="O41" s="4">
        <v>45860</v>
      </c>
      <c r="P41" s="4">
        <v>45861</v>
      </c>
      <c r="Q41" s="3" t="s">
        <v>28</v>
      </c>
      <c r="R41" s="3" t="s">
        <v>24</v>
      </c>
      <c r="S41" s="4">
        <v>45895</v>
      </c>
    </row>
    <row r="42" spans="1:19" x14ac:dyDescent="0.2">
      <c r="A42" s="3">
        <v>7648</v>
      </c>
      <c r="B42" s="3" t="s">
        <v>19</v>
      </c>
      <c r="C42" s="3" t="s">
        <v>164</v>
      </c>
      <c r="D42" s="3" t="s">
        <v>165</v>
      </c>
      <c r="E42" s="3" t="s">
        <v>161</v>
      </c>
      <c r="F42" s="3" t="s">
        <v>23</v>
      </c>
      <c r="G42" s="3" t="s">
        <v>24</v>
      </c>
      <c r="H42" s="3" t="s">
        <v>25</v>
      </c>
      <c r="I42" s="3">
        <v>4</v>
      </c>
      <c r="J42" s="3">
        <v>0</v>
      </c>
      <c r="K42" s="3">
        <v>0</v>
      </c>
      <c r="L42" s="3">
        <v>77</v>
      </c>
      <c r="M42" s="3" t="s">
        <v>38</v>
      </c>
      <c r="N42" s="3" t="s">
        <v>133</v>
      </c>
      <c r="O42" s="4">
        <v>45860</v>
      </c>
      <c r="P42" s="4">
        <v>45860</v>
      </c>
      <c r="Q42" s="3" t="s">
        <v>28</v>
      </c>
      <c r="R42" s="3" t="s">
        <v>24</v>
      </c>
      <c r="S42" s="4">
        <v>45937</v>
      </c>
    </row>
    <row r="43" spans="1:19" x14ac:dyDescent="0.2">
      <c r="A43" s="3">
        <v>7649</v>
      </c>
      <c r="B43" s="3" t="s">
        <v>19</v>
      </c>
      <c r="C43" s="3" t="s">
        <v>367</v>
      </c>
      <c r="D43" s="3" t="s">
        <v>368</v>
      </c>
      <c r="E43" s="3" t="s">
        <v>61</v>
      </c>
      <c r="F43" s="3" t="s">
        <v>23</v>
      </c>
      <c r="G43" s="3" t="s">
        <v>24</v>
      </c>
      <c r="H43" s="3" t="s">
        <v>25</v>
      </c>
      <c r="I43" s="3">
        <v>1</v>
      </c>
      <c r="J43" s="3">
        <v>0</v>
      </c>
      <c r="K43" s="3">
        <v>0</v>
      </c>
      <c r="L43" s="3">
        <v>80</v>
      </c>
      <c r="M43" s="3" t="s">
        <v>36</v>
      </c>
      <c r="N43" s="3" t="s">
        <v>369</v>
      </c>
      <c r="O43" s="4">
        <v>45860</v>
      </c>
      <c r="P43" s="4">
        <v>45870</v>
      </c>
      <c r="Q43" s="3" t="s">
        <v>28</v>
      </c>
      <c r="R43" s="3" t="s">
        <v>24</v>
      </c>
      <c r="S43" s="4">
        <v>45950</v>
      </c>
    </row>
    <row r="44" spans="1:19" x14ac:dyDescent="0.2">
      <c r="A44" s="3">
        <v>7653</v>
      </c>
      <c r="B44" s="3" t="s">
        <v>19</v>
      </c>
      <c r="C44" s="3" t="s">
        <v>242</v>
      </c>
      <c r="D44" s="3" t="s">
        <v>21</v>
      </c>
      <c r="E44" s="3" t="s">
        <v>22</v>
      </c>
      <c r="F44" s="3" t="s">
        <v>23</v>
      </c>
      <c r="G44" s="3" t="s">
        <v>24</v>
      </c>
      <c r="H44" s="3" t="s">
        <v>25</v>
      </c>
      <c r="I44" s="3">
        <v>3</v>
      </c>
      <c r="J44" s="3">
        <v>1</v>
      </c>
      <c r="K44" s="3">
        <v>1</v>
      </c>
      <c r="L44" s="3">
        <v>20</v>
      </c>
      <c r="M44" s="3" t="s">
        <v>36</v>
      </c>
      <c r="N44" s="3" t="s">
        <v>370</v>
      </c>
      <c r="O44" s="4">
        <v>45861</v>
      </c>
      <c r="P44" s="4">
        <v>45862</v>
      </c>
      <c r="Q44" s="3" t="s">
        <v>28</v>
      </c>
      <c r="R44" s="3" t="s">
        <v>24</v>
      </c>
      <c r="S44" s="4">
        <v>45882</v>
      </c>
    </row>
    <row r="45" spans="1:19" x14ac:dyDescent="0.2">
      <c r="A45" s="3">
        <v>7655</v>
      </c>
      <c r="B45" s="3" t="s">
        <v>57</v>
      </c>
      <c r="C45" s="3" t="s">
        <v>155</v>
      </c>
      <c r="D45" s="3" t="s">
        <v>21</v>
      </c>
      <c r="E45" s="3" t="s">
        <v>22</v>
      </c>
      <c r="F45" s="3" t="s">
        <v>44</v>
      </c>
      <c r="G45" s="3" t="s">
        <v>24</v>
      </c>
      <c r="H45" s="3" t="s">
        <v>59</v>
      </c>
      <c r="I45" s="3">
        <v>1</v>
      </c>
      <c r="J45" s="3">
        <v>1</v>
      </c>
      <c r="K45" s="3">
        <v>1</v>
      </c>
      <c r="L45" s="3">
        <v>1</v>
      </c>
      <c r="M45" s="3" t="s">
        <v>36</v>
      </c>
      <c r="N45" s="3" t="s">
        <v>156</v>
      </c>
      <c r="O45" s="4">
        <v>45861</v>
      </c>
      <c r="P45" s="4">
        <v>45869</v>
      </c>
      <c r="Q45" s="3" t="s">
        <v>28</v>
      </c>
      <c r="R45" s="3" t="s">
        <v>24</v>
      </c>
      <c r="S45" s="4">
        <v>45870</v>
      </c>
    </row>
    <row r="46" spans="1:19" x14ac:dyDescent="0.2">
      <c r="A46" s="3">
        <v>7656</v>
      </c>
      <c r="B46" s="3" t="s">
        <v>57</v>
      </c>
      <c r="C46" s="3" t="s">
        <v>371</v>
      </c>
      <c r="D46" s="3" t="s">
        <v>21</v>
      </c>
      <c r="E46" s="3" t="s">
        <v>22</v>
      </c>
      <c r="F46" s="3" t="s">
        <v>44</v>
      </c>
      <c r="G46" s="3" t="s">
        <v>24</v>
      </c>
      <c r="H46" s="3" t="s">
        <v>59</v>
      </c>
      <c r="I46" s="3">
        <v>5</v>
      </c>
      <c r="J46" s="3">
        <v>1</v>
      </c>
      <c r="K46" s="3">
        <v>1</v>
      </c>
      <c r="L46" s="3">
        <v>10</v>
      </c>
      <c r="M46" s="3" t="s">
        <v>36</v>
      </c>
      <c r="N46" s="3" t="s">
        <v>156</v>
      </c>
      <c r="O46" s="4">
        <v>45861</v>
      </c>
      <c r="P46" s="4">
        <v>45905</v>
      </c>
      <c r="Q46" s="3" t="s">
        <v>28</v>
      </c>
      <c r="R46" s="3" t="s">
        <v>24</v>
      </c>
      <c r="S46" s="4">
        <v>45915</v>
      </c>
    </row>
    <row r="47" spans="1:19" x14ac:dyDescent="0.2">
      <c r="A47" s="3">
        <v>7657</v>
      </c>
      <c r="B47" s="3" t="s">
        <v>175</v>
      </c>
      <c r="C47" s="3" t="s">
        <v>372</v>
      </c>
      <c r="D47" s="3" t="s">
        <v>137</v>
      </c>
      <c r="E47" s="3" t="s">
        <v>61</v>
      </c>
      <c r="F47" s="3"/>
      <c r="G47" s="3" t="s">
        <v>24</v>
      </c>
      <c r="H47" s="3" t="s">
        <v>178</v>
      </c>
      <c r="I47" s="3">
        <v>1</v>
      </c>
      <c r="J47" s="3">
        <v>0</v>
      </c>
      <c r="K47" s="3">
        <v>0</v>
      </c>
      <c r="L47" s="3">
        <v>6</v>
      </c>
      <c r="M47" s="3" t="s">
        <v>351</v>
      </c>
      <c r="N47" s="3" t="s">
        <v>373</v>
      </c>
      <c r="O47" s="4">
        <v>45861</v>
      </c>
      <c r="P47" s="4">
        <v>45867</v>
      </c>
      <c r="Q47" s="3" t="s">
        <v>28</v>
      </c>
      <c r="R47" s="3" t="s">
        <v>24</v>
      </c>
      <c r="S47" s="4">
        <v>45873</v>
      </c>
    </row>
    <row r="48" spans="1:19" x14ac:dyDescent="0.2">
      <c r="A48" s="3">
        <v>7660</v>
      </c>
      <c r="B48" s="3" t="s">
        <v>374</v>
      </c>
      <c r="C48" s="3" t="s">
        <v>375</v>
      </c>
      <c r="D48" s="3" t="s">
        <v>205</v>
      </c>
      <c r="E48" s="3" t="s">
        <v>171</v>
      </c>
      <c r="F48" s="3"/>
      <c r="G48" s="3" t="s">
        <v>24</v>
      </c>
      <c r="H48" s="3" t="s">
        <v>25</v>
      </c>
      <c r="I48" s="3">
        <v>4</v>
      </c>
      <c r="J48" s="3">
        <v>0</v>
      </c>
      <c r="K48" s="3">
        <v>0</v>
      </c>
      <c r="L48" s="3">
        <v>99</v>
      </c>
      <c r="M48" s="3" t="s">
        <v>36</v>
      </c>
      <c r="N48" s="3" t="s">
        <v>283</v>
      </c>
      <c r="O48" s="4">
        <v>45862</v>
      </c>
      <c r="P48" s="4">
        <v>45866</v>
      </c>
      <c r="Q48" s="3" t="s">
        <v>28</v>
      </c>
      <c r="R48" s="3" t="s">
        <v>24</v>
      </c>
      <c r="S48" s="4">
        <v>45965</v>
      </c>
    </row>
    <row r="49" spans="1:19" x14ac:dyDescent="0.2">
      <c r="A49" s="3">
        <v>7661</v>
      </c>
      <c r="B49" s="3" t="s">
        <v>374</v>
      </c>
      <c r="C49" s="3" t="s">
        <v>375</v>
      </c>
      <c r="D49" s="3" t="s">
        <v>205</v>
      </c>
      <c r="E49" s="3" t="s">
        <v>171</v>
      </c>
      <c r="F49" s="3"/>
      <c r="G49" s="3" t="s">
        <v>24</v>
      </c>
      <c r="H49" s="3" t="s">
        <v>25</v>
      </c>
      <c r="I49" s="3">
        <v>5</v>
      </c>
      <c r="J49" s="3">
        <v>0</v>
      </c>
      <c r="K49" s="3">
        <v>0</v>
      </c>
      <c r="L49" s="3">
        <v>97</v>
      </c>
      <c r="M49" s="3" t="s">
        <v>36</v>
      </c>
      <c r="N49" s="3" t="s">
        <v>283</v>
      </c>
      <c r="O49" s="4">
        <v>45862</v>
      </c>
      <c r="P49" s="4">
        <v>45868</v>
      </c>
      <c r="Q49" s="3" t="s">
        <v>28</v>
      </c>
      <c r="R49" s="3" t="s">
        <v>24</v>
      </c>
      <c r="S49" s="4">
        <v>45965</v>
      </c>
    </row>
    <row r="50" spans="1:19" x14ac:dyDescent="0.2">
      <c r="A50" s="3">
        <v>7662</v>
      </c>
      <c r="B50" s="3" t="s">
        <v>153</v>
      </c>
      <c r="C50" s="3" t="s">
        <v>154</v>
      </c>
      <c r="D50" s="3" t="s">
        <v>21</v>
      </c>
      <c r="E50" s="3" t="s">
        <v>161</v>
      </c>
      <c r="F50" s="3" t="s">
        <v>44</v>
      </c>
      <c r="G50" s="3" t="s">
        <v>24</v>
      </c>
      <c r="H50" s="3" t="s">
        <v>25</v>
      </c>
      <c r="I50" s="3">
        <v>4</v>
      </c>
      <c r="J50" s="3">
        <v>0</v>
      </c>
      <c r="K50" s="3">
        <v>0</v>
      </c>
      <c r="L50" s="3">
        <v>33</v>
      </c>
      <c r="M50" s="3" t="s">
        <v>36</v>
      </c>
      <c r="N50" s="3" t="s">
        <v>119</v>
      </c>
      <c r="O50" s="4">
        <v>45863</v>
      </c>
      <c r="P50" s="4">
        <v>45869</v>
      </c>
      <c r="Q50" s="3" t="s">
        <v>41</v>
      </c>
      <c r="R50" s="3" t="s">
        <v>24</v>
      </c>
      <c r="S50" s="4">
        <v>45902</v>
      </c>
    </row>
    <row r="51" spans="1:19" x14ac:dyDescent="0.2">
      <c r="A51" s="3">
        <v>7663</v>
      </c>
      <c r="B51" s="3" t="s">
        <v>19</v>
      </c>
      <c r="C51" s="3" t="s">
        <v>376</v>
      </c>
      <c r="D51" s="3" t="s">
        <v>74</v>
      </c>
      <c r="E51" s="3" t="s">
        <v>22</v>
      </c>
      <c r="F51" s="3" t="s">
        <v>23</v>
      </c>
      <c r="G51" s="3" t="s">
        <v>24</v>
      </c>
      <c r="H51" s="3" t="s">
        <v>25</v>
      </c>
      <c r="I51" s="3">
        <v>2</v>
      </c>
      <c r="J51" s="3">
        <v>1</v>
      </c>
      <c r="K51" s="3">
        <v>1</v>
      </c>
      <c r="L51" s="3">
        <v>1</v>
      </c>
      <c r="M51" s="3" t="s">
        <v>215</v>
      </c>
      <c r="N51" s="3" t="s">
        <v>216</v>
      </c>
      <c r="O51" s="4">
        <v>45863</v>
      </c>
      <c r="P51" s="4">
        <v>45930</v>
      </c>
      <c r="Q51" s="3" t="s">
        <v>28</v>
      </c>
      <c r="R51" s="3" t="s">
        <v>47</v>
      </c>
      <c r="S51" s="4">
        <v>45931</v>
      </c>
    </row>
    <row r="52" spans="1:19" x14ac:dyDescent="0.2">
      <c r="A52" s="3">
        <v>7664</v>
      </c>
      <c r="B52" s="3" t="s">
        <v>19</v>
      </c>
      <c r="C52" s="3" t="s">
        <v>164</v>
      </c>
      <c r="D52" s="3" t="s">
        <v>165</v>
      </c>
      <c r="E52" s="3" t="s">
        <v>22</v>
      </c>
      <c r="F52" s="3" t="s">
        <v>23</v>
      </c>
      <c r="G52" s="3" t="s">
        <v>24</v>
      </c>
      <c r="H52" s="3" t="s">
        <v>25</v>
      </c>
      <c r="I52" s="3">
        <v>3</v>
      </c>
      <c r="J52" s="3">
        <v>1</v>
      </c>
      <c r="K52" s="3">
        <v>1</v>
      </c>
      <c r="L52" s="3">
        <v>9</v>
      </c>
      <c r="M52" s="3" t="s">
        <v>38</v>
      </c>
      <c r="N52" s="3" t="s">
        <v>133</v>
      </c>
      <c r="O52" s="4">
        <v>45866</v>
      </c>
      <c r="P52" s="4">
        <v>45867</v>
      </c>
      <c r="Q52" s="3" t="s">
        <v>28</v>
      </c>
      <c r="R52" s="3" t="s">
        <v>24</v>
      </c>
      <c r="S52" s="4">
        <v>45876</v>
      </c>
    </row>
    <row r="53" spans="1:19" x14ac:dyDescent="0.2">
      <c r="A53" s="3">
        <v>7666</v>
      </c>
      <c r="B53" s="3" t="s">
        <v>151</v>
      </c>
      <c r="C53" s="3" t="s">
        <v>377</v>
      </c>
      <c r="D53" s="3" t="s">
        <v>378</v>
      </c>
      <c r="E53" s="3" t="s">
        <v>217</v>
      </c>
      <c r="F53" s="3" t="s">
        <v>44</v>
      </c>
      <c r="G53" s="3" t="s">
        <v>24</v>
      </c>
      <c r="H53" s="3" t="s">
        <v>66</v>
      </c>
      <c r="I53" s="3">
        <v>1</v>
      </c>
      <c r="J53" s="3">
        <v>0</v>
      </c>
      <c r="K53" s="3">
        <v>0</v>
      </c>
      <c r="L53" s="3">
        <v>26</v>
      </c>
      <c r="M53" s="3" t="s">
        <v>36</v>
      </c>
      <c r="N53" s="3" t="s">
        <v>83</v>
      </c>
      <c r="O53" s="4">
        <v>45866</v>
      </c>
      <c r="P53" s="4">
        <v>45896</v>
      </c>
      <c r="Q53" s="3" t="s">
        <v>34</v>
      </c>
      <c r="R53" s="3" t="s">
        <v>24</v>
      </c>
      <c r="S53" s="4">
        <v>45922</v>
      </c>
    </row>
    <row r="54" spans="1:19" x14ac:dyDescent="0.2">
      <c r="A54" s="3">
        <v>7668</v>
      </c>
      <c r="B54" s="3" t="s">
        <v>19</v>
      </c>
      <c r="C54" s="3" t="s">
        <v>73</v>
      </c>
      <c r="D54" s="3" t="s">
        <v>74</v>
      </c>
      <c r="E54" s="3" t="s">
        <v>22</v>
      </c>
      <c r="F54" s="3" t="s">
        <v>23</v>
      </c>
      <c r="G54" s="3" t="s">
        <v>24</v>
      </c>
      <c r="H54" s="3" t="s">
        <v>25</v>
      </c>
      <c r="I54" s="3">
        <v>1</v>
      </c>
      <c r="J54" s="3">
        <v>1</v>
      </c>
      <c r="K54" s="3">
        <v>1</v>
      </c>
      <c r="L54" s="3">
        <v>1</v>
      </c>
      <c r="M54" s="3" t="s">
        <v>36</v>
      </c>
      <c r="N54" s="3" t="s">
        <v>75</v>
      </c>
      <c r="O54" s="4">
        <v>45867</v>
      </c>
      <c r="P54" s="4">
        <v>45867</v>
      </c>
      <c r="Q54" s="3" t="s">
        <v>34</v>
      </c>
      <c r="R54" s="3" t="s">
        <v>24</v>
      </c>
      <c r="S54" s="4">
        <v>45868</v>
      </c>
    </row>
    <row r="55" spans="1:19" x14ac:dyDescent="0.2">
      <c r="A55" s="3">
        <v>7669</v>
      </c>
      <c r="B55" s="3" t="s">
        <v>379</v>
      </c>
      <c r="C55" s="3" t="s">
        <v>380</v>
      </c>
      <c r="D55" s="3" t="s">
        <v>381</v>
      </c>
      <c r="E55" s="3" t="s">
        <v>161</v>
      </c>
      <c r="F55" s="3"/>
      <c r="G55" s="3" t="s">
        <v>24</v>
      </c>
      <c r="H55" s="3" t="s">
        <v>45</v>
      </c>
      <c r="I55" s="3">
        <v>1</v>
      </c>
      <c r="J55" s="3">
        <v>0</v>
      </c>
      <c r="K55" s="3">
        <v>0</v>
      </c>
      <c r="L55" s="3">
        <v>57</v>
      </c>
      <c r="M55" s="3" t="s">
        <v>351</v>
      </c>
      <c r="N55" s="3" t="s">
        <v>382</v>
      </c>
      <c r="O55" s="4">
        <v>45867</v>
      </c>
      <c r="P55" s="4">
        <v>45882</v>
      </c>
      <c r="Q55" s="3" t="s">
        <v>28</v>
      </c>
      <c r="R55" s="3" t="s">
        <v>24</v>
      </c>
      <c r="S55" s="4">
        <v>45939</v>
      </c>
    </row>
    <row r="56" spans="1:19" x14ac:dyDescent="0.2">
      <c r="A56" s="3">
        <v>7670</v>
      </c>
      <c r="B56" s="3" t="s">
        <v>379</v>
      </c>
      <c r="C56" s="3" t="s">
        <v>380</v>
      </c>
      <c r="D56" s="3" t="s">
        <v>383</v>
      </c>
      <c r="E56" s="3" t="s">
        <v>161</v>
      </c>
      <c r="F56" s="3"/>
      <c r="G56" s="3" t="s">
        <v>24</v>
      </c>
      <c r="H56" s="3" t="s">
        <v>45</v>
      </c>
      <c r="I56" s="3">
        <v>1</v>
      </c>
      <c r="J56" s="3">
        <v>0</v>
      </c>
      <c r="K56" s="3">
        <v>0</v>
      </c>
      <c r="L56" s="3">
        <v>65</v>
      </c>
      <c r="M56" s="3" t="s">
        <v>36</v>
      </c>
      <c r="N56" s="3" t="s">
        <v>384</v>
      </c>
      <c r="O56" s="4">
        <v>45867</v>
      </c>
      <c r="P56" s="4">
        <v>45874</v>
      </c>
      <c r="Q56" s="3" t="s">
        <v>28</v>
      </c>
      <c r="R56" s="3" t="s">
        <v>24</v>
      </c>
      <c r="S56" s="4">
        <v>45939</v>
      </c>
    </row>
    <row r="57" spans="1:19" x14ac:dyDescent="0.2">
      <c r="A57" s="3">
        <v>7671</v>
      </c>
      <c r="B57" s="3" t="s">
        <v>385</v>
      </c>
      <c r="C57" s="3" t="s">
        <v>386</v>
      </c>
      <c r="D57" s="3" t="s">
        <v>141</v>
      </c>
      <c r="E57" s="3" t="s">
        <v>22</v>
      </c>
      <c r="F57" s="3"/>
      <c r="G57" s="3" t="s">
        <v>24</v>
      </c>
      <c r="H57" s="3" t="s">
        <v>190</v>
      </c>
      <c r="I57" s="3">
        <v>4</v>
      </c>
      <c r="J57" s="3">
        <v>1</v>
      </c>
      <c r="K57" s="3">
        <v>1</v>
      </c>
      <c r="L57" s="3">
        <v>5</v>
      </c>
      <c r="M57" s="3" t="s">
        <v>60</v>
      </c>
      <c r="N57" s="3" t="s">
        <v>387</v>
      </c>
      <c r="O57" s="4">
        <v>45867</v>
      </c>
      <c r="P57" s="4">
        <v>45896</v>
      </c>
      <c r="Q57" s="3" t="s">
        <v>28</v>
      </c>
      <c r="R57" s="3" t="s">
        <v>24</v>
      </c>
      <c r="S57" s="4">
        <v>45901</v>
      </c>
    </row>
    <row r="58" spans="1:19" x14ac:dyDescent="0.2">
      <c r="A58" s="3">
        <v>7672</v>
      </c>
      <c r="B58" s="3" t="s">
        <v>379</v>
      </c>
      <c r="C58" s="3" t="s">
        <v>388</v>
      </c>
      <c r="D58" s="3" t="s">
        <v>343</v>
      </c>
      <c r="E58" s="3" t="s">
        <v>61</v>
      </c>
      <c r="F58" s="3"/>
      <c r="G58" s="3" t="s">
        <v>24</v>
      </c>
      <c r="H58" s="3" t="s">
        <v>45</v>
      </c>
      <c r="I58" s="3">
        <v>4</v>
      </c>
      <c r="J58" s="3">
        <v>0</v>
      </c>
      <c r="K58" s="3">
        <v>0</v>
      </c>
      <c r="L58" s="3">
        <v>57</v>
      </c>
      <c r="M58" s="3" t="s">
        <v>36</v>
      </c>
      <c r="N58" s="3" t="s">
        <v>389</v>
      </c>
      <c r="O58" s="4">
        <v>45867</v>
      </c>
      <c r="P58" s="4">
        <v>45874</v>
      </c>
      <c r="Q58" s="3" t="s">
        <v>28</v>
      </c>
      <c r="R58" s="3" t="s">
        <v>24</v>
      </c>
      <c r="S58" s="4">
        <v>45931</v>
      </c>
    </row>
    <row r="59" spans="1:19" x14ac:dyDescent="0.2">
      <c r="A59" s="3">
        <v>7673</v>
      </c>
      <c r="B59" s="3" t="s">
        <v>379</v>
      </c>
      <c r="C59" s="3" t="s">
        <v>388</v>
      </c>
      <c r="D59" s="3" t="s">
        <v>390</v>
      </c>
      <c r="E59" s="3" t="s">
        <v>217</v>
      </c>
      <c r="F59" s="3"/>
      <c r="G59" s="3" t="s">
        <v>24</v>
      </c>
      <c r="H59" s="3" t="s">
        <v>45</v>
      </c>
      <c r="I59" s="3">
        <v>2</v>
      </c>
      <c r="J59" s="3">
        <v>0</v>
      </c>
      <c r="K59" s="3">
        <v>0</v>
      </c>
      <c r="L59" s="3">
        <v>47</v>
      </c>
      <c r="M59" s="3" t="s">
        <v>351</v>
      </c>
      <c r="N59" s="3" t="s">
        <v>391</v>
      </c>
      <c r="O59" s="4">
        <v>45867</v>
      </c>
      <c r="P59" s="4">
        <v>45883</v>
      </c>
      <c r="Q59" s="3" t="s">
        <v>28</v>
      </c>
      <c r="R59" s="3" t="s">
        <v>24</v>
      </c>
      <c r="S59" s="4">
        <v>45930</v>
      </c>
    </row>
    <row r="60" spans="1:19" x14ac:dyDescent="0.2">
      <c r="A60" s="3">
        <v>7674</v>
      </c>
      <c r="B60" s="3" t="s">
        <v>104</v>
      </c>
      <c r="C60" s="3" t="s">
        <v>392</v>
      </c>
      <c r="D60" s="3" t="s">
        <v>111</v>
      </c>
      <c r="E60" s="3" t="s">
        <v>22</v>
      </c>
      <c r="F60" s="3"/>
      <c r="G60" s="3" t="s">
        <v>24</v>
      </c>
      <c r="H60" s="3" t="s">
        <v>90</v>
      </c>
      <c r="I60" s="3">
        <v>1</v>
      </c>
      <c r="J60" s="3">
        <v>1</v>
      </c>
      <c r="K60" s="3">
        <v>1</v>
      </c>
      <c r="L60" s="3">
        <v>0</v>
      </c>
      <c r="M60" s="3" t="s">
        <v>36</v>
      </c>
      <c r="N60" s="3" t="s">
        <v>284</v>
      </c>
      <c r="O60" s="4">
        <v>45867</v>
      </c>
      <c r="P60" s="4">
        <v>45867</v>
      </c>
      <c r="Q60" s="3" t="s">
        <v>34</v>
      </c>
      <c r="R60" s="3" t="s">
        <v>24</v>
      </c>
      <c r="S60" s="4">
        <v>45867</v>
      </c>
    </row>
    <row r="61" spans="1:19" x14ac:dyDescent="0.2">
      <c r="A61" s="3">
        <v>7675</v>
      </c>
      <c r="B61" s="3" t="s">
        <v>355</v>
      </c>
      <c r="C61" s="3" t="s">
        <v>356</v>
      </c>
      <c r="D61" s="3" t="s">
        <v>35</v>
      </c>
      <c r="E61" s="3" t="s">
        <v>22</v>
      </c>
      <c r="F61" s="3" t="s">
        <v>229</v>
      </c>
      <c r="G61" s="3" t="s">
        <v>24</v>
      </c>
      <c r="H61" s="3" t="s">
        <v>25</v>
      </c>
      <c r="I61" s="3">
        <v>1</v>
      </c>
      <c r="J61" s="3">
        <v>1</v>
      </c>
      <c r="K61" s="3">
        <v>1</v>
      </c>
      <c r="L61" s="3">
        <v>0</v>
      </c>
      <c r="M61" s="3" t="s">
        <v>38</v>
      </c>
      <c r="N61" s="3" t="s">
        <v>393</v>
      </c>
      <c r="O61" s="4">
        <v>45868</v>
      </c>
      <c r="P61" s="4">
        <v>45869</v>
      </c>
      <c r="Q61" s="3" t="s">
        <v>34</v>
      </c>
      <c r="R61" s="3" t="s">
        <v>47</v>
      </c>
      <c r="S61" s="4">
        <v>45869</v>
      </c>
    </row>
    <row r="62" spans="1:19" x14ac:dyDescent="0.2">
      <c r="A62" s="3">
        <v>7676</v>
      </c>
      <c r="B62" s="3" t="s">
        <v>76</v>
      </c>
      <c r="C62" s="3" t="s">
        <v>77</v>
      </c>
      <c r="D62" s="3" t="s">
        <v>98</v>
      </c>
      <c r="E62" s="3" t="s">
        <v>61</v>
      </c>
      <c r="F62" s="3" t="s">
        <v>44</v>
      </c>
      <c r="G62" s="3" t="s">
        <v>24</v>
      </c>
      <c r="H62" s="3" t="s">
        <v>66</v>
      </c>
      <c r="I62" s="3">
        <v>3</v>
      </c>
      <c r="J62" s="3">
        <v>0</v>
      </c>
      <c r="K62" s="3">
        <v>0</v>
      </c>
      <c r="L62" s="3">
        <v>26</v>
      </c>
      <c r="M62" s="3" t="s">
        <v>36</v>
      </c>
      <c r="N62" s="3" t="s">
        <v>394</v>
      </c>
      <c r="O62" s="4">
        <v>45868</v>
      </c>
      <c r="P62" s="4">
        <v>45868</v>
      </c>
      <c r="Q62" s="3" t="s">
        <v>28</v>
      </c>
      <c r="R62" s="3" t="s">
        <v>24</v>
      </c>
      <c r="S62" s="4">
        <v>45894</v>
      </c>
    </row>
    <row r="63" spans="1:19" x14ac:dyDescent="0.2">
      <c r="A63" s="3">
        <v>7677</v>
      </c>
      <c r="B63" s="3" t="s">
        <v>175</v>
      </c>
      <c r="C63" s="3" t="s">
        <v>282</v>
      </c>
      <c r="D63" s="3" t="s">
        <v>98</v>
      </c>
      <c r="E63" s="3" t="s">
        <v>22</v>
      </c>
      <c r="F63" s="3"/>
      <c r="G63" s="3" t="s">
        <v>24</v>
      </c>
      <c r="H63" s="3" t="s">
        <v>178</v>
      </c>
      <c r="I63" s="3">
        <v>1</v>
      </c>
      <c r="J63" s="3">
        <v>1</v>
      </c>
      <c r="K63" s="3">
        <v>1</v>
      </c>
      <c r="L63" s="3">
        <v>0</v>
      </c>
      <c r="M63" s="3" t="s">
        <v>36</v>
      </c>
      <c r="N63" s="3" t="s">
        <v>284</v>
      </c>
      <c r="O63" s="4">
        <v>45868</v>
      </c>
      <c r="P63" s="4">
        <v>45868</v>
      </c>
      <c r="Q63" s="3" t="s">
        <v>34</v>
      </c>
      <c r="R63" s="3" t="s">
        <v>24</v>
      </c>
      <c r="S63" s="4">
        <v>45868</v>
      </c>
    </row>
    <row r="64" spans="1:19" x14ac:dyDescent="0.2">
      <c r="A64" s="3">
        <v>7680</v>
      </c>
      <c r="B64" s="3" t="s">
        <v>151</v>
      </c>
      <c r="C64" s="3" t="s">
        <v>395</v>
      </c>
      <c r="D64" s="3" t="s">
        <v>276</v>
      </c>
      <c r="E64" s="3" t="s">
        <v>22</v>
      </c>
      <c r="F64" s="3" t="s">
        <v>396</v>
      </c>
      <c r="G64" s="3" t="s">
        <v>24</v>
      </c>
      <c r="H64" s="3" t="s">
        <v>66</v>
      </c>
      <c r="I64" s="3">
        <v>2</v>
      </c>
      <c r="J64" s="3">
        <v>1</v>
      </c>
      <c r="K64" s="3">
        <v>1</v>
      </c>
      <c r="L64" s="3">
        <v>4</v>
      </c>
      <c r="M64" s="3" t="s">
        <v>36</v>
      </c>
      <c r="N64" s="3" t="s">
        <v>397</v>
      </c>
      <c r="O64" s="4">
        <v>45869</v>
      </c>
      <c r="P64" s="4">
        <v>45915</v>
      </c>
      <c r="Q64" s="3" t="s">
        <v>28</v>
      </c>
      <c r="R64" s="3" t="s">
        <v>24</v>
      </c>
      <c r="S64" s="4">
        <v>45919</v>
      </c>
    </row>
    <row r="65" spans="1:19" x14ac:dyDescent="0.2">
      <c r="A65" s="3">
        <v>7681</v>
      </c>
      <c r="B65" s="3" t="s">
        <v>153</v>
      </c>
      <c r="C65" s="3" t="s">
        <v>154</v>
      </c>
      <c r="D65" s="3" t="s">
        <v>137</v>
      </c>
      <c r="E65" s="3" t="s">
        <v>22</v>
      </c>
      <c r="F65" s="3" t="s">
        <v>44</v>
      </c>
      <c r="G65" s="3" t="s">
        <v>24</v>
      </c>
      <c r="H65" s="3" t="s">
        <v>25</v>
      </c>
      <c r="I65" s="3">
        <v>3</v>
      </c>
      <c r="J65" s="3">
        <v>1</v>
      </c>
      <c r="K65" s="3">
        <v>1</v>
      </c>
      <c r="L65" s="3">
        <v>13</v>
      </c>
      <c r="M65" s="3" t="s">
        <v>36</v>
      </c>
      <c r="N65" s="3" t="s">
        <v>83</v>
      </c>
      <c r="O65" s="4">
        <v>45869</v>
      </c>
      <c r="P65" s="4">
        <v>45870</v>
      </c>
      <c r="Q65" s="3" t="s">
        <v>28</v>
      </c>
      <c r="R65" s="3" t="s">
        <v>24</v>
      </c>
      <c r="S65" s="4">
        <v>45883</v>
      </c>
    </row>
    <row r="66" spans="1:19" x14ac:dyDescent="0.2">
      <c r="A66" s="3">
        <v>7682</v>
      </c>
      <c r="B66" s="3" t="s">
        <v>271</v>
      </c>
      <c r="C66" s="3" t="s">
        <v>398</v>
      </c>
      <c r="D66" s="3" t="s">
        <v>180</v>
      </c>
      <c r="E66" s="3" t="s">
        <v>22</v>
      </c>
      <c r="F66" s="3" t="s">
        <v>107</v>
      </c>
      <c r="G66" s="3" t="s">
        <v>24</v>
      </c>
      <c r="H66" s="3" t="s">
        <v>273</v>
      </c>
      <c r="I66" s="3">
        <v>1</v>
      </c>
      <c r="J66" s="3">
        <v>1</v>
      </c>
      <c r="K66" s="3">
        <v>1</v>
      </c>
      <c r="L66" s="3">
        <v>0</v>
      </c>
      <c r="M66" s="3" t="s">
        <v>26</v>
      </c>
      <c r="N66" s="3" t="s">
        <v>56</v>
      </c>
      <c r="O66" s="4">
        <v>45869</v>
      </c>
      <c r="P66" s="4">
        <v>45869</v>
      </c>
      <c r="Q66" s="3" t="s">
        <v>34</v>
      </c>
      <c r="R66" s="3" t="s">
        <v>24</v>
      </c>
      <c r="S66" s="4">
        <v>45869</v>
      </c>
    </row>
    <row r="68" spans="1:19" x14ac:dyDescent="0.2">
      <c r="I68">
        <f>SUM(I2:I66)</f>
        <v>126</v>
      </c>
      <c r="J68">
        <f>SUM(J2:J66)</f>
        <v>45</v>
      </c>
    </row>
    <row r="70" spans="1:19" x14ac:dyDescent="0.2">
      <c r="J70" s="5">
        <f>J68/I68</f>
        <v>0.35714285714285715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32FDA-A452-FC4D-994B-3621E5C50690}">
  <dimension ref="A1:S80"/>
  <sheetViews>
    <sheetView topLeftCell="A48" workbookViewId="0">
      <selection activeCell="I80" sqref="I80"/>
    </sheetView>
  </sheetViews>
  <sheetFormatPr baseColWidth="10" defaultRowHeight="15" x14ac:dyDescent="0.2"/>
  <sheetData>
    <row r="1" spans="1:1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s="3">
        <v>7689</v>
      </c>
      <c r="B2" s="3" t="s">
        <v>271</v>
      </c>
      <c r="C2" s="3" t="s">
        <v>398</v>
      </c>
      <c r="D2" s="3" t="s">
        <v>180</v>
      </c>
      <c r="E2" s="3" t="s">
        <v>22</v>
      </c>
      <c r="F2" s="3" t="s">
        <v>313</v>
      </c>
      <c r="G2" s="3" t="s">
        <v>24</v>
      </c>
      <c r="H2" s="3" t="s">
        <v>273</v>
      </c>
      <c r="I2" s="3">
        <v>1</v>
      </c>
      <c r="J2" s="3">
        <v>1</v>
      </c>
      <c r="K2" s="3">
        <v>1</v>
      </c>
      <c r="L2" s="3">
        <v>0</v>
      </c>
      <c r="M2" s="3" t="s">
        <v>26</v>
      </c>
      <c r="N2" s="3" t="s">
        <v>194</v>
      </c>
      <c r="O2" s="4">
        <v>45870</v>
      </c>
      <c r="P2" s="4">
        <v>45870</v>
      </c>
      <c r="Q2" s="3" t="s">
        <v>34</v>
      </c>
      <c r="R2" s="3" t="s">
        <v>24</v>
      </c>
      <c r="S2" s="4">
        <v>45870</v>
      </c>
    </row>
    <row r="3" spans="1:19" x14ac:dyDescent="0.2">
      <c r="A3" s="3">
        <v>7690</v>
      </c>
      <c r="B3" s="3" t="s">
        <v>104</v>
      </c>
      <c r="C3" s="3" t="s">
        <v>105</v>
      </c>
      <c r="D3" s="3" t="s">
        <v>399</v>
      </c>
      <c r="E3" s="3" t="s">
        <v>22</v>
      </c>
      <c r="F3" s="3" t="s">
        <v>23</v>
      </c>
      <c r="G3" s="3" t="s">
        <v>24</v>
      </c>
      <c r="H3" s="3" t="s">
        <v>90</v>
      </c>
      <c r="I3" s="3">
        <v>1</v>
      </c>
      <c r="J3" s="3">
        <v>1</v>
      </c>
      <c r="K3" s="3">
        <v>1</v>
      </c>
      <c r="L3" s="3">
        <v>0</v>
      </c>
      <c r="M3" s="3" t="s">
        <v>36</v>
      </c>
      <c r="N3" s="3" t="s">
        <v>400</v>
      </c>
      <c r="O3" s="4">
        <v>45870</v>
      </c>
      <c r="P3" s="4">
        <v>45870</v>
      </c>
      <c r="Q3" s="3" t="s">
        <v>34</v>
      </c>
      <c r="R3" s="3" t="s">
        <v>24</v>
      </c>
      <c r="S3" s="4">
        <v>45870</v>
      </c>
    </row>
    <row r="4" spans="1:19" x14ac:dyDescent="0.2">
      <c r="A4" s="3">
        <v>7691</v>
      </c>
      <c r="B4" s="3" t="s">
        <v>104</v>
      </c>
      <c r="C4" s="3" t="s">
        <v>105</v>
      </c>
      <c r="D4" s="3" t="s">
        <v>106</v>
      </c>
      <c r="E4" s="3" t="s">
        <v>22</v>
      </c>
      <c r="F4" s="3" t="s">
        <v>107</v>
      </c>
      <c r="G4" s="3" t="s">
        <v>24</v>
      </c>
      <c r="H4" s="3" t="s">
        <v>90</v>
      </c>
      <c r="I4" s="3">
        <v>1</v>
      </c>
      <c r="J4" s="3">
        <v>1</v>
      </c>
      <c r="K4" s="3">
        <v>1</v>
      </c>
      <c r="L4" s="3">
        <v>0</v>
      </c>
      <c r="M4" s="3" t="s">
        <v>108</v>
      </c>
      <c r="N4" s="3" t="s">
        <v>109</v>
      </c>
      <c r="O4" s="4">
        <v>45870</v>
      </c>
      <c r="P4" s="4">
        <v>45870</v>
      </c>
      <c r="Q4" s="3" t="s">
        <v>34</v>
      </c>
      <c r="R4" s="3" t="s">
        <v>24</v>
      </c>
      <c r="S4" s="4">
        <v>45870</v>
      </c>
    </row>
    <row r="5" spans="1:19" x14ac:dyDescent="0.2">
      <c r="A5" s="3">
        <v>7692</v>
      </c>
      <c r="B5" s="3" t="s">
        <v>104</v>
      </c>
      <c r="C5" s="3" t="s">
        <v>105</v>
      </c>
      <c r="D5" s="3" t="s">
        <v>31</v>
      </c>
      <c r="E5" s="3" t="s">
        <v>22</v>
      </c>
      <c r="F5" s="3" t="s">
        <v>23</v>
      </c>
      <c r="G5" s="3" t="s">
        <v>24</v>
      </c>
      <c r="H5" s="3" t="s">
        <v>90</v>
      </c>
      <c r="I5" s="3">
        <v>1</v>
      </c>
      <c r="J5" s="3">
        <v>1</v>
      </c>
      <c r="K5" s="3">
        <v>1</v>
      </c>
      <c r="L5" s="3">
        <v>0</v>
      </c>
      <c r="M5" s="3" t="s">
        <v>38</v>
      </c>
      <c r="N5" s="3" t="s">
        <v>401</v>
      </c>
      <c r="O5" s="4">
        <v>45870</v>
      </c>
      <c r="P5" s="4">
        <v>45870</v>
      </c>
      <c r="Q5" s="3" t="s">
        <v>34</v>
      </c>
      <c r="R5" s="3" t="s">
        <v>24</v>
      </c>
      <c r="S5" s="4">
        <v>45870</v>
      </c>
    </row>
    <row r="6" spans="1:19" x14ac:dyDescent="0.2">
      <c r="A6" s="3">
        <v>7693</v>
      </c>
      <c r="B6" s="3" t="s">
        <v>104</v>
      </c>
      <c r="C6" s="3" t="s">
        <v>105</v>
      </c>
      <c r="D6" s="3" t="s">
        <v>402</v>
      </c>
      <c r="E6" s="3" t="s">
        <v>22</v>
      </c>
      <c r="F6" s="3" t="s">
        <v>23</v>
      </c>
      <c r="G6" s="3" t="s">
        <v>24</v>
      </c>
      <c r="H6" s="3" t="s">
        <v>90</v>
      </c>
      <c r="I6" s="3">
        <v>1</v>
      </c>
      <c r="J6" s="3">
        <v>1</v>
      </c>
      <c r="K6" s="3">
        <v>1</v>
      </c>
      <c r="L6" s="3">
        <v>0</v>
      </c>
      <c r="M6" s="3" t="s">
        <v>36</v>
      </c>
      <c r="N6" s="3" t="s">
        <v>285</v>
      </c>
      <c r="O6" s="4">
        <v>45870</v>
      </c>
      <c r="P6" s="4">
        <v>45870</v>
      </c>
      <c r="Q6" s="3" t="s">
        <v>34</v>
      </c>
      <c r="R6" s="3" t="s">
        <v>24</v>
      </c>
      <c r="S6" s="4">
        <v>45870</v>
      </c>
    </row>
    <row r="7" spans="1:19" x14ac:dyDescent="0.2">
      <c r="A7" s="3">
        <v>7696</v>
      </c>
      <c r="B7" s="3" t="s">
        <v>153</v>
      </c>
      <c r="C7" s="3" t="s">
        <v>154</v>
      </c>
      <c r="D7" s="3" t="s">
        <v>21</v>
      </c>
      <c r="E7" s="3" t="s">
        <v>22</v>
      </c>
      <c r="F7" s="3" t="s">
        <v>44</v>
      </c>
      <c r="G7" s="3" t="s">
        <v>24</v>
      </c>
      <c r="H7" s="3" t="s">
        <v>25</v>
      </c>
      <c r="I7" s="3">
        <v>3</v>
      </c>
      <c r="J7" s="3">
        <v>1</v>
      </c>
      <c r="K7" s="3">
        <v>1</v>
      </c>
      <c r="L7" s="3">
        <v>0</v>
      </c>
      <c r="M7" s="3" t="s">
        <v>60</v>
      </c>
      <c r="N7" s="3" t="s">
        <v>169</v>
      </c>
      <c r="O7" s="4">
        <v>45874</v>
      </c>
      <c r="P7" s="4">
        <v>45902</v>
      </c>
      <c r="Q7" s="3" t="s">
        <v>28</v>
      </c>
      <c r="R7" s="3" t="s">
        <v>47</v>
      </c>
      <c r="S7" s="4">
        <v>45902</v>
      </c>
    </row>
    <row r="8" spans="1:19" x14ac:dyDescent="0.2">
      <c r="A8" s="3">
        <v>7697</v>
      </c>
      <c r="B8" s="3" t="s">
        <v>87</v>
      </c>
      <c r="C8" s="3" t="s">
        <v>403</v>
      </c>
      <c r="D8" s="3" t="s">
        <v>74</v>
      </c>
      <c r="E8" s="3" t="s">
        <v>22</v>
      </c>
      <c r="F8" s="3" t="s">
        <v>70</v>
      </c>
      <c r="G8" s="3" t="s">
        <v>24</v>
      </c>
      <c r="H8" s="3" t="s">
        <v>90</v>
      </c>
      <c r="I8" s="3">
        <v>3</v>
      </c>
      <c r="J8" s="3">
        <v>1</v>
      </c>
      <c r="K8" s="3">
        <v>1</v>
      </c>
      <c r="L8" s="3">
        <v>2</v>
      </c>
      <c r="M8" s="3" t="s">
        <v>38</v>
      </c>
      <c r="N8" s="3" t="s">
        <v>404</v>
      </c>
      <c r="O8" s="4">
        <v>45874</v>
      </c>
      <c r="P8" s="4">
        <v>45965</v>
      </c>
      <c r="Q8" s="3" t="s">
        <v>28</v>
      </c>
      <c r="R8" s="3" t="s">
        <v>47</v>
      </c>
      <c r="S8" s="4">
        <v>45967</v>
      </c>
    </row>
    <row r="9" spans="1:19" x14ac:dyDescent="0.2">
      <c r="A9" s="3">
        <v>7699</v>
      </c>
      <c r="B9" s="3" t="s">
        <v>405</v>
      </c>
      <c r="C9" s="3" t="s">
        <v>406</v>
      </c>
      <c r="D9" s="3" t="s">
        <v>31</v>
      </c>
      <c r="E9" s="3" t="s">
        <v>22</v>
      </c>
      <c r="F9" s="3" t="s">
        <v>107</v>
      </c>
      <c r="G9" s="3" t="s">
        <v>24</v>
      </c>
      <c r="H9" s="3" t="s">
        <v>407</v>
      </c>
      <c r="I9" s="3">
        <v>1</v>
      </c>
      <c r="J9" s="3">
        <v>1</v>
      </c>
      <c r="K9" s="3">
        <v>1</v>
      </c>
      <c r="L9" s="3">
        <v>0</v>
      </c>
      <c r="M9" s="3" t="s">
        <v>38</v>
      </c>
      <c r="N9" s="3" t="s">
        <v>283</v>
      </c>
      <c r="O9" s="4">
        <v>45874</v>
      </c>
      <c r="P9" s="4">
        <v>45874</v>
      </c>
      <c r="Q9" s="3" t="s">
        <v>34</v>
      </c>
      <c r="R9" s="3" t="s">
        <v>24</v>
      </c>
      <c r="S9" s="4">
        <v>45874</v>
      </c>
    </row>
    <row r="10" spans="1:19" x14ac:dyDescent="0.2">
      <c r="A10" s="3">
        <v>7700</v>
      </c>
      <c r="B10" s="3" t="s">
        <v>405</v>
      </c>
      <c r="C10" s="3" t="s">
        <v>406</v>
      </c>
      <c r="D10" s="3" t="s">
        <v>106</v>
      </c>
      <c r="E10" s="3" t="s">
        <v>22</v>
      </c>
      <c r="F10" s="3" t="s">
        <v>107</v>
      </c>
      <c r="G10" s="3" t="s">
        <v>24</v>
      </c>
      <c r="H10" s="3" t="s">
        <v>407</v>
      </c>
      <c r="I10" s="3">
        <v>1</v>
      </c>
      <c r="J10" s="3">
        <v>1</v>
      </c>
      <c r="K10" s="3">
        <v>1</v>
      </c>
      <c r="L10" s="3">
        <v>0</v>
      </c>
      <c r="M10" s="3" t="s">
        <v>26</v>
      </c>
      <c r="N10" s="3" t="s">
        <v>318</v>
      </c>
      <c r="O10" s="4">
        <v>45874</v>
      </c>
      <c r="P10" s="4">
        <v>45874</v>
      </c>
      <c r="Q10" s="3" t="s">
        <v>34</v>
      </c>
      <c r="R10" s="3" t="s">
        <v>24</v>
      </c>
      <c r="S10" s="4">
        <v>45874</v>
      </c>
    </row>
    <row r="11" spans="1:19" x14ac:dyDescent="0.2">
      <c r="A11" s="3">
        <v>7702</v>
      </c>
      <c r="B11" s="3" t="s">
        <v>405</v>
      </c>
      <c r="C11" s="3" t="s">
        <v>406</v>
      </c>
      <c r="D11" s="3" t="s">
        <v>106</v>
      </c>
      <c r="E11" s="3" t="s">
        <v>22</v>
      </c>
      <c r="F11" s="3" t="s">
        <v>107</v>
      </c>
      <c r="G11" s="3" t="s">
        <v>24</v>
      </c>
      <c r="H11" s="3" t="s">
        <v>407</v>
      </c>
      <c r="I11" s="3">
        <v>1</v>
      </c>
      <c r="J11" s="3">
        <v>1</v>
      </c>
      <c r="K11" s="3">
        <v>1</v>
      </c>
      <c r="L11" s="3">
        <v>0</v>
      </c>
      <c r="M11" s="3" t="s">
        <v>36</v>
      </c>
      <c r="N11" s="3" t="s">
        <v>297</v>
      </c>
      <c r="O11" s="4">
        <v>45874</v>
      </c>
      <c r="P11" s="4">
        <v>45874</v>
      </c>
      <c r="Q11" s="3" t="s">
        <v>34</v>
      </c>
      <c r="R11" s="3" t="s">
        <v>24</v>
      </c>
      <c r="S11" s="4">
        <v>45874</v>
      </c>
    </row>
    <row r="12" spans="1:19" x14ac:dyDescent="0.2">
      <c r="A12" s="3">
        <v>7703</v>
      </c>
      <c r="B12" s="3" t="s">
        <v>405</v>
      </c>
      <c r="C12" s="3" t="s">
        <v>406</v>
      </c>
      <c r="D12" s="3" t="s">
        <v>106</v>
      </c>
      <c r="E12" s="3" t="s">
        <v>22</v>
      </c>
      <c r="F12" s="3" t="s">
        <v>107</v>
      </c>
      <c r="G12" s="3" t="s">
        <v>24</v>
      </c>
      <c r="H12" s="3" t="s">
        <v>407</v>
      </c>
      <c r="I12" s="3">
        <v>1</v>
      </c>
      <c r="J12" s="3">
        <v>1</v>
      </c>
      <c r="K12" s="3">
        <v>1</v>
      </c>
      <c r="L12" s="3">
        <v>0</v>
      </c>
      <c r="M12" s="3" t="s">
        <v>36</v>
      </c>
      <c r="N12" s="3" t="s">
        <v>297</v>
      </c>
      <c r="O12" s="4">
        <v>45874</v>
      </c>
      <c r="P12" s="4">
        <v>45874</v>
      </c>
      <c r="Q12" s="3" t="s">
        <v>34</v>
      </c>
      <c r="R12" s="3" t="s">
        <v>24</v>
      </c>
      <c r="S12" s="4">
        <v>45874</v>
      </c>
    </row>
    <row r="13" spans="1:19" x14ac:dyDescent="0.2">
      <c r="A13" s="3">
        <v>7704</v>
      </c>
      <c r="B13" s="3" t="s">
        <v>405</v>
      </c>
      <c r="C13" s="3" t="s">
        <v>406</v>
      </c>
      <c r="D13" s="3" t="s">
        <v>183</v>
      </c>
      <c r="E13" s="3" t="s">
        <v>22</v>
      </c>
      <c r="F13" s="3" t="s">
        <v>107</v>
      </c>
      <c r="G13" s="3" t="s">
        <v>24</v>
      </c>
      <c r="H13" s="3" t="s">
        <v>407</v>
      </c>
      <c r="I13" s="3">
        <v>1</v>
      </c>
      <c r="J13" s="3">
        <v>1</v>
      </c>
      <c r="K13" s="3">
        <v>1</v>
      </c>
      <c r="L13" s="3">
        <v>0</v>
      </c>
      <c r="M13" s="3" t="s">
        <v>36</v>
      </c>
      <c r="N13" s="3" t="s">
        <v>297</v>
      </c>
      <c r="O13" s="4">
        <v>45874</v>
      </c>
      <c r="P13" s="4">
        <v>45874</v>
      </c>
      <c r="Q13" s="3" t="s">
        <v>34</v>
      </c>
      <c r="R13" s="3" t="s">
        <v>24</v>
      </c>
      <c r="S13" s="4">
        <v>45874</v>
      </c>
    </row>
    <row r="14" spans="1:19" x14ac:dyDescent="0.2">
      <c r="A14" s="3">
        <v>7705</v>
      </c>
      <c r="B14" s="3" t="s">
        <v>408</v>
      </c>
      <c r="C14" s="3" t="s">
        <v>409</v>
      </c>
      <c r="D14" s="3" t="s">
        <v>123</v>
      </c>
      <c r="E14" s="3" t="s">
        <v>22</v>
      </c>
      <c r="F14" s="3" t="s">
        <v>44</v>
      </c>
      <c r="G14" s="3" t="s">
        <v>24</v>
      </c>
      <c r="H14" s="3" t="s">
        <v>132</v>
      </c>
      <c r="I14" s="3">
        <v>1</v>
      </c>
      <c r="J14" s="3">
        <v>1</v>
      </c>
      <c r="K14" s="3">
        <v>1</v>
      </c>
      <c r="L14" s="3">
        <v>12</v>
      </c>
      <c r="M14" s="3" t="s">
        <v>410</v>
      </c>
      <c r="N14" s="3" t="s">
        <v>411</v>
      </c>
      <c r="O14" s="4">
        <v>45874</v>
      </c>
      <c r="P14" s="4">
        <v>45876</v>
      </c>
      <c r="Q14" s="3" t="s">
        <v>28</v>
      </c>
      <c r="R14" s="3" t="s">
        <v>24</v>
      </c>
      <c r="S14" s="4">
        <v>45888</v>
      </c>
    </row>
    <row r="15" spans="1:19" x14ac:dyDescent="0.2">
      <c r="A15" s="3">
        <v>7706</v>
      </c>
      <c r="B15" s="3" t="s">
        <v>405</v>
      </c>
      <c r="C15" s="3" t="s">
        <v>406</v>
      </c>
      <c r="D15" s="3" t="s">
        <v>111</v>
      </c>
      <c r="E15" s="3" t="s">
        <v>22</v>
      </c>
      <c r="F15" s="3" t="s">
        <v>23</v>
      </c>
      <c r="G15" s="3" t="s">
        <v>24</v>
      </c>
      <c r="H15" s="3" t="s">
        <v>407</v>
      </c>
      <c r="I15" s="3">
        <v>1</v>
      </c>
      <c r="J15" s="3">
        <v>1</v>
      </c>
      <c r="K15" s="3">
        <v>1</v>
      </c>
      <c r="L15" s="3">
        <v>5</v>
      </c>
      <c r="M15" s="3" t="s">
        <v>36</v>
      </c>
      <c r="N15" s="3" t="s">
        <v>412</v>
      </c>
      <c r="O15" s="4">
        <v>45874</v>
      </c>
      <c r="P15" s="4">
        <v>45875</v>
      </c>
      <c r="Q15" s="3" t="s">
        <v>34</v>
      </c>
      <c r="R15" s="3" t="s">
        <v>24</v>
      </c>
      <c r="S15" s="4">
        <v>45880</v>
      </c>
    </row>
    <row r="16" spans="1:19" x14ac:dyDescent="0.2">
      <c r="A16" s="3">
        <v>7708</v>
      </c>
      <c r="B16" s="3" t="s">
        <v>405</v>
      </c>
      <c r="C16" s="3" t="s">
        <v>406</v>
      </c>
      <c r="D16" s="3" t="s">
        <v>106</v>
      </c>
      <c r="E16" s="3" t="s">
        <v>22</v>
      </c>
      <c r="F16" s="3" t="s">
        <v>107</v>
      </c>
      <c r="G16" s="3" t="s">
        <v>24</v>
      </c>
      <c r="H16" s="3" t="s">
        <v>407</v>
      </c>
      <c r="I16" s="3">
        <v>1</v>
      </c>
      <c r="J16" s="3">
        <v>1</v>
      </c>
      <c r="K16" s="3">
        <v>1</v>
      </c>
      <c r="L16" s="3">
        <v>0</v>
      </c>
      <c r="M16" s="3" t="s">
        <v>26</v>
      </c>
      <c r="N16" s="3" t="s">
        <v>318</v>
      </c>
      <c r="O16" s="4">
        <v>45875</v>
      </c>
      <c r="P16" s="4">
        <v>45875</v>
      </c>
      <c r="Q16" s="3" t="s">
        <v>34</v>
      </c>
      <c r="R16" s="3" t="s">
        <v>24</v>
      </c>
      <c r="S16" s="4">
        <v>45875</v>
      </c>
    </row>
    <row r="17" spans="1:19" x14ac:dyDescent="0.2">
      <c r="A17" s="3">
        <v>7709</v>
      </c>
      <c r="B17" s="3" t="s">
        <v>19</v>
      </c>
      <c r="C17" s="3" t="s">
        <v>413</v>
      </c>
      <c r="D17" s="3" t="s">
        <v>21</v>
      </c>
      <c r="E17" s="3" t="s">
        <v>61</v>
      </c>
      <c r="F17" s="3" t="s">
        <v>23</v>
      </c>
      <c r="G17" s="3" t="s">
        <v>24</v>
      </c>
      <c r="H17" s="3" t="s">
        <v>25</v>
      </c>
      <c r="I17" s="3">
        <v>3</v>
      </c>
      <c r="J17" s="3">
        <v>1</v>
      </c>
      <c r="K17" s="3">
        <v>0</v>
      </c>
      <c r="L17" s="3">
        <v>20</v>
      </c>
      <c r="M17" s="3" t="s">
        <v>38</v>
      </c>
      <c r="N17" s="3" t="s">
        <v>220</v>
      </c>
      <c r="O17" s="4">
        <v>45876</v>
      </c>
      <c r="P17" s="4">
        <v>45902</v>
      </c>
      <c r="Q17" s="3" t="s">
        <v>28</v>
      </c>
      <c r="R17" s="3" t="s">
        <v>24</v>
      </c>
      <c r="S17" s="4">
        <v>45922</v>
      </c>
    </row>
    <row r="18" spans="1:19" x14ac:dyDescent="0.2">
      <c r="A18" s="3">
        <v>7710</v>
      </c>
      <c r="B18" s="3" t="s">
        <v>19</v>
      </c>
      <c r="C18" s="3" t="s">
        <v>293</v>
      </c>
      <c r="D18" s="3" t="s">
        <v>31</v>
      </c>
      <c r="E18" s="3" t="s">
        <v>61</v>
      </c>
      <c r="F18" s="3" t="s">
        <v>23</v>
      </c>
      <c r="G18" s="3" t="s">
        <v>24</v>
      </c>
      <c r="H18" s="3" t="s">
        <v>25</v>
      </c>
      <c r="I18" s="3">
        <v>6</v>
      </c>
      <c r="J18" s="3">
        <v>0</v>
      </c>
      <c r="K18" s="3">
        <v>0</v>
      </c>
      <c r="L18" s="3">
        <v>45</v>
      </c>
      <c r="M18" s="3" t="s">
        <v>215</v>
      </c>
      <c r="N18" s="3" t="s">
        <v>294</v>
      </c>
      <c r="O18" s="4">
        <v>45876</v>
      </c>
      <c r="P18" s="4">
        <v>45881</v>
      </c>
      <c r="Q18" s="3" t="s">
        <v>28</v>
      </c>
      <c r="R18" s="3" t="s">
        <v>24</v>
      </c>
      <c r="S18" s="4">
        <v>45926</v>
      </c>
    </row>
    <row r="19" spans="1:19" x14ac:dyDescent="0.2">
      <c r="A19" s="3">
        <v>7713</v>
      </c>
      <c r="B19" s="3" t="s">
        <v>316</v>
      </c>
      <c r="C19" s="3" t="s">
        <v>317</v>
      </c>
      <c r="D19" s="3" t="s">
        <v>106</v>
      </c>
      <c r="E19" s="3" t="s">
        <v>22</v>
      </c>
      <c r="F19" s="3" t="s">
        <v>107</v>
      </c>
      <c r="G19" s="3" t="s">
        <v>24</v>
      </c>
      <c r="H19" s="3" t="s">
        <v>273</v>
      </c>
      <c r="I19" s="3">
        <v>1</v>
      </c>
      <c r="J19" s="3">
        <v>1</v>
      </c>
      <c r="K19" s="3">
        <v>1</v>
      </c>
      <c r="L19" s="3">
        <v>0</v>
      </c>
      <c r="M19" s="3" t="s">
        <v>36</v>
      </c>
      <c r="N19" s="3" t="s">
        <v>318</v>
      </c>
      <c r="O19" s="4">
        <v>45876</v>
      </c>
      <c r="P19" s="4">
        <v>45876</v>
      </c>
      <c r="Q19" s="3" t="s">
        <v>34</v>
      </c>
      <c r="R19" s="3" t="s">
        <v>47</v>
      </c>
      <c r="S19" s="4">
        <v>45876</v>
      </c>
    </row>
    <row r="20" spans="1:19" x14ac:dyDescent="0.2">
      <c r="A20" s="3">
        <v>7714</v>
      </c>
      <c r="B20" s="3" t="s">
        <v>19</v>
      </c>
      <c r="C20" s="3" t="s">
        <v>164</v>
      </c>
      <c r="D20" s="3" t="s">
        <v>165</v>
      </c>
      <c r="E20" s="3" t="s">
        <v>61</v>
      </c>
      <c r="F20" s="3"/>
      <c r="G20" s="3" t="s">
        <v>24</v>
      </c>
      <c r="H20" s="3" t="s">
        <v>25</v>
      </c>
      <c r="I20" s="3">
        <v>1</v>
      </c>
      <c r="J20" s="3">
        <v>0</v>
      </c>
      <c r="K20" s="3">
        <v>0</v>
      </c>
      <c r="L20" s="3">
        <v>89</v>
      </c>
      <c r="M20" s="3" t="s">
        <v>215</v>
      </c>
      <c r="N20" s="3" t="s">
        <v>414</v>
      </c>
      <c r="O20" s="4">
        <v>45876</v>
      </c>
      <c r="P20" s="4">
        <v>45877</v>
      </c>
      <c r="Q20" s="3" t="s">
        <v>41</v>
      </c>
      <c r="R20" s="3" t="s">
        <v>47</v>
      </c>
      <c r="S20" s="4">
        <v>45966</v>
      </c>
    </row>
    <row r="21" spans="1:19" x14ac:dyDescent="0.2">
      <c r="A21" s="3">
        <v>7716</v>
      </c>
      <c r="B21" s="3" t="s">
        <v>341</v>
      </c>
      <c r="C21" s="3" t="s">
        <v>415</v>
      </c>
      <c r="D21" s="3" t="s">
        <v>31</v>
      </c>
      <c r="E21" s="3" t="s">
        <v>22</v>
      </c>
      <c r="F21" s="3"/>
      <c r="G21" s="3" t="s">
        <v>24</v>
      </c>
      <c r="H21" s="3" t="s">
        <v>25</v>
      </c>
      <c r="I21" s="3">
        <v>2</v>
      </c>
      <c r="J21" s="3">
        <v>1</v>
      </c>
      <c r="K21" s="3">
        <v>1</v>
      </c>
      <c r="L21" s="3">
        <v>14</v>
      </c>
      <c r="M21" s="3" t="s">
        <v>416</v>
      </c>
      <c r="N21" s="3" t="s">
        <v>56</v>
      </c>
      <c r="O21" s="4">
        <v>45876</v>
      </c>
      <c r="P21" s="4">
        <v>45876</v>
      </c>
      <c r="Q21" s="3" t="s">
        <v>34</v>
      </c>
      <c r="R21" s="3" t="s">
        <v>24</v>
      </c>
      <c r="S21" s="4">
        <v>45890</v>
      </c>
    </row>
    <row r="22" spans="1:19" x14ac:dyDescent="0.2">
      <c r="A22" s="3">
        <v>7717</v>
      </c>
      <c r="B22" s="3" t="s">
        <v>261</v>
      </c>
      <c r="C22" s="3" t="s">
        <v>417</v>
      </c>
      <c r="D22" s="3" t="s">
        <v>145</v>
      </c>
      <c r="E22" s="3" t="s">
        <v>161</v>
      </c>
      <c r="F22" s="3" t="s">
        <v>418</v>
      </c>
      <c r="G22" s="3" t="s">
        <v>24</v>
      </c>
      <c r="H22" s="3" t="s">
        <v>25</v>
      </c>
      <c r="I22" s="3">
        <v>3</v>
      </c>
      <c r="J22" s="3">
        <v>0</v>
      </c>
      <c r="K22" s="3">
        <v>0</v>
      </c>
      <c r="L22" s="3">
        <v>56</v>
      </c>
      <c r="M22" s="3" t="s">
        <v>36</v>
      </c>
      <c r="N22" s="3" t="s">
        <v>419</v>
      </c>
      <c r="O22" s="4">
        <v>45877</v>
      </c>
      <c r="P22" s="4">
        <v>45882</v>
      </c>
      <c r="Q22" s="3" t="s">
        <v>28</v>
      </c>
      <c r="R22" s="3" t="s">
        <v>24</v>
      </c>
      <c r="S22" s="4">
        <v>45938</v>
      </c>
    </row>
    <row r="23" spans="1:19" x14ac:dyDescent="0.2">
      <c r="A23" s="3">
        <v>7718</v>
      </c>
      <c r="B23" s="3" t="s">
        <v>87</v>
      </c>
      <c r="C23" s="3" t="s">
        <v>420</v>
      </c>
      <c r="D23" s="3" t="s">
        <v>276</v>
      </c>
      <c r="E23" s="3" t="s">
        <v>22</v>
      </c>
      <c r="F23" s="3" t="s">
        <v>70</v>
      </c>
      <c r="G23" s="3" t="s">
        <v>24</v>
      </c>
      <c r="H23" s="3" t="s">
        <v>90</v>
      </c>
      <c r="I23" s="3">
        <v>7</v>
      </c>
      <c r="J23" s="3">
        <v>1</v>
      </c>
      <c r="K23" s="3">
        <v>1</v>
      </c>
      <c r="L23" s="3">
        <v>3</v>
      </c>
      <c r="M23" s="3" t="s">
        <v>78</v>
      </c>
      <c r="N23" s="3" t="s">
        <v>421</v>
      </c>
      <c r="O23" s="4">
        <v>45877</v>
      </c>
      <c r="P23" s="4">
        <v>45916</v>
      </c>
      <c r="Q23" s="3" t="s">
        <v>28</v>
      </c>
      <c r="R23" s="3" t="s">
        <v>24</v>
      </c>
      <c r="S23" s="4">
        <v>45919</v>
      </c>
    </row>
    <row r="24" spans="1:19" x14ac:dyDescent="0.2">
      <c r="A24" s="3">
        <v>7721</v>
      </c>
      <c r="B24" s="3" t="s">
        <v>19</v>
      </c>
      <c r="C24" s="3" t="s">
        <v>218</v>
      </c>
      <c r="D24" s="3" t="s">
        <v>21</v>
      </c>
      <c r="E24" s="3" t="s">
        <v>171</v>
      </c>
      <c r="F24" s="3" t="s">
        <v>23</v>
      </c>
      <c r="G24" s="3" t="s">
        <v>24</v>
      </c>
      <c r="H24" s="3" t="s">
        <v>25</v>
      </c>
      <c r="I24" s="3">
        <v>4</v>
      </c>
      <c r="J24" s="3">
        <v>0</v>
      </c>
      <c r="K24" s="3">
        <v>0</v>
      </c>
      <c r="L24" s="3">
        <v>34</v>
      </c>
      <c r="M24" s="3" t="s">
        <v>36</v>
      </c>
      <c r="N24" s="3" t="s">
        <v>75</v>
      </c>
      <c r="O24" s="4">
        <v>45877</v>
      </c>
      <c r="P24" s="4">
        <v>45889</v>
      </c>
      <c r="Q24" s="3" t="s">
        <v>28</v>
      </c>
      <c r="R24" s="3" t="s">
        <v>24</v>
      </c>
      <c r="S24" s="4">
        <v>45923</v>
      </c>
    </row>
    <row r="25" spans="1:19" x14ac:dyDescent="0.2">
      <c r="A25" s="3">
        <v>7722</v>
      </c>
      <c r="B25" s="3" t="s">
        <v>19</v>
      </c>
      <c r="C25" s="3" t="s">
        <v>367</v>
      </c>
      <c r="D25" s="3" t="s">
        <v>21</v>
      </c>
      <c r="E25" s="3" t="s">
        <v>61</v>
      </c>
      <c r="F25" s="3" t="s">
        <v>23</v>
      </c>
      <c r="G25" s="3" t="s">
        <v>24</v>
      </c>
      <c r="H25" s="3" t="s">
        <v>25</v>
      </c>
      <c r="I25" s="3">
        <v>3</v>
      </c>
      <c r="J25" s="3">
        <v>0</v>
      </c>
      <c r="K25" s="3">
        <v>0</v>
      </c>
      <c r="L25" s="3">
        <v>29</v>
      </c>
      <c r="M25" s="3" t="s">
        <v>36</v>
      </c>
      <c r="N25" s="3" t="s">
        <v>75</v>
      </c>
      <c r="O25" s="4">
        <v>45877</v>
      </c>
      <c r="P25" s="4">
        <v>45887</v>
      </c>
      <c r="Q25" s="3" t="s">
        <v>28</v>
      </c>
      <c r="R25" s="3" t="s">
        <v>24</v>
      </c>
      <c r="S25" s="4">
        <v>45916</v>
      </c>
    </row>
    <row r="26" spans="1:19" x14ac:dyDescent="0.2">
      <c r="A26" s="3">
        <v>7724</v>
      </c>
      <c r="B26" s="3" t="s">
        <v>63</v>
      </c>
      <c r="C26" s="3" t="s">
        <v>204</v>
      </c>
      <c r="D26" s="3" t="s">
        <v>74</v>
      </c>
      <c r="E26" s="3" t="s">
        <v>161</v>
      </c>
      <c r="F26" s="3" t="s">
        <v>44</v>
      </c>
      <c r="G26" s="3" t="s">
        <v>24</v>
      </c>
      <c r="H26" s="3" t="s">
        <v>66</v>
      </c>
      <c r="I26" s="3">
        <v>2</v>
      </c>
      <c r="J26" s="3">
        <v>0</v>
      </c>
      <c r="K26" s="3">
        <v>0</v>
      </c>
      <c r="L26" s="3">
        <v>43</v>
      </c>
      <c r="M26" s="3" t="s">
        <v>36</v>
      </c>
      <c r="N26" s="3" t="s">
        <v>169</v>
      </c>
      <c r="O26" s="4">
        <v>45880</v>
      </c>
      <c r="P26" s="4">
        <v>45881</v>
      </c>
      <c r="Q26" s="3" t="s">
        <v>28</v>
      </c>
      <c r="R26" s="3" t="s">
        <v>24</v>
      </c>
      <c r="S26" s="4">
        <v>45924</v>
      </c>
    </row>
    <row r="27" spans="1:19" x14ac:dyDescent="0.2">
      <c r="A27" s="3">
        <v>7725</v>
      </c>
      <c r="B27" s="3" t="s">
        <v>63</v>
      </c>
      <c r="C27" s="3" t="s">
        <v>204</v>
      </c>
      <c r="D27" s="3" t="s">
        <v>74</v>
      </c>
      <c r="E27" s="3" t="s">
        <v>171</v>
      </c>
      <c r="F27" s="3" t="s">
        <v>44</v>
      </c>
      <c r="G27" s="3" t="s">
        <v>24</v>
      </c>
      <c r="H27" s="3" t="s">
        <v>66</v>
      </c>
      <c r="I27" s="3">
        <v>2</v>
      </c>
      <c r="J27" s="3">
        <v>0</v>
      </c>
      <c r="K27" s="3">
        <v>0</v>
      </c>
      <c r="L27" s="3">
        <v>17</v>
      </c>
      <c r="M27" s="3" t="s">
        <v>36</v>
      </c>
      <c r="N27" s="3" t="s">
        <v>169</v>
      </c>
      <c r="O27" s="4">
        <v>45880</v>
      </c>
      <c r="P27" s="4">
        <v>45881</v>
      </c>
      <c r="Q27" s="3" t="s">
        <v>28</v>
      </c>
      <c r="R27" s="3" t="s">
        <v>24</v>
      </c>
      <c r="S27" s="4">
        <v>45898</v>
      </c>
    </row>
    <row r="28" spans="1:19" x14ac:dyDescent="0.2">
      <c r="A28" s="3">
        <v>7726</v>
      </c>
      <c r="B28" s="3" t="s">
        <v>63</v>
      </c>
      <c r="C28" s="3" t="s">
        <v>204</v>
      </c>
      <c r="D28" s="3" t="s">
        <v>123</v>
      </c>
      <c r="E28" s="3" t="s">
        <v>171</v>
      </c>
      <c r="F28" s="3" t="s">
        <v>44</v>
      </c>
      <c r="G28" s="3" t="s">
        <v>24</v>
      </c>
      <c r="H28" s="3" t="s">
        <v>66</v>
      </c>
      <c r="I28" s="3">
        <v>3</v>
      </c>
      <c r="J28" s="3">
        <v>0</v>
      </c>
      <c r="K28" s="3">
        <v>0</v>
      </c>
      <c r="L28" s="3">
        <v>20</v>
      </c>
      <c r="M28" s="3" t="s">
        <v>36</v>
      </c>
      <c r="N28" s="3" t="s">
        <v>169</v>
      </c>
      <c r="O28" s="4">
        <v>45880</v>
      </c>
      <c r="P28" s="4">
        <v>45881</v>
      </c>
      <c r="Q28" s="3" t="s">
        <v>41</v>
      </c>
      <c r="R28" s="3" t="s">
        <v>24</v>
      </c>
      <c r="S28" s="4">
        <v>45901</v>
      </c>
    </row>
    <row r="29" spans="1:19" x14ac:dyDescent="0.2">
      <c r="A29" s="3">
        <v>7728</v>
      </c>
      <c r="B29" s="3" t="s">
        <v>422</v>
      </c>
      <c r="C29" s="3" t="s">
        <v>423</v>
      </c>
      <c r="D29" s="3" t="s">
        <v>82</v>
      </c>
      <c r="E29" s="3" t="s">
        <v>22</v>
      </c>
      <c r="F29" s="3" t="s">
        <v>23</v>
      </c>
      <c r="G29" s="3" t="s">
        <v>24</v>
      </c>
      <c r="H29" s="3" t="s">
        <v>90</v>
      </c>
      <c r="I29" s="3">
        <v>1</v>
      </c>
      <c r="J29" s="3">
        <v>1</v>
      </c>
      <c r="K29" s="3">
        <v>1</v>
      </c>
      <c r="L29" s="3">
        <v>6</v>
      </c>
      <c r="M29" s="3" t="s">
        <v>36</v>
      </c>
      <c r="N29" s="3" t="s">
        <v>424</v>
      </c>
      <c r="O29" s="4">
        <v>45881</v>
      </c>
      <c r="P29" s="4">
        <v>45909</v>
      </c>
      <c r="Q29" s="3" t="s">
        <v>28</v>
      </c>
      <c r="R29" s="3" t="s">
        <v>24</v>
      </c>
      <c r="S29" s="4">
        <v>45915</v>
      </c>
    </row>
    <row r="30" spans="1:19" x14ac:dyDescent="0.2">
      <c r="A30" s="3">
        <v>7729</v>
      </c>
      <c r="B30" s="3" t="s">
        <v>422</v>
      </c>
      <c r="C30" s="3" t="s">
        <v>425</v>
      </c>
      <c r="D30" s="3" t="s">
        <v>89</v>
      </c>
      <c r="E30" s="3" t="s">
        <v>22</v>
      </c>
      <c r="F30" s="3" t="s">
        <v>23</v>
      </c>
      <c r="G30" s="3" t="s">
        <v>24</v>
      </c>
      <c r="H30" s="3" t="s">
        <v>90</v>
      </c>
      <c r="I30" s="3">
        <v>2</v>
      </c>
      <c r="J30" s="3">
        <v>1</v>
      </c>
      <c r="K30" s="3">
        <v>1</v>
      </c>
      <c r="L30" s="3">
        <v>35</v>
      </c>
      <c r="M30" s="3" t="s">
        <v>78</v>
      </c>
      <c r="N30" s="3" t="s">
        <v>424</v>
      </c>
      <c r="O30" s="4">
        <v>45881</v>
      </c>
      <c r="P30" s="4">
        <v>45882</v>
      </c>
      <c r="Q30" s="3" t="s">
        <v>41</v>
      </c>
      <c r="R30" s="3" t="s">
        <v>24</v>
      </c>
      <c r="S30" s="4">
        <v>45917</v>
      </c>
    </row>
    <row r="31" spans="1:19" x14ac:dyDescent="0.2">
      <c r="A31" s="3">
        <v>7730</v>
      </c>
      <c r="B31" s="3" t="s">
        <v>422</v>
      </c>
      <c r="C31" s="3" t="s">
        <v>425</v>
      </c>
      <c r="D31" s="3" t="s">
        <v>89</v>
      </c>
      <c r="E31" s="3" t="s">
        <v>161</v>
      </c>
      <c r="F31" s="3" t="s">
        <v>23</v>
      </c>
      <c r="G31" s="3" t="s">
        <v>24</v>
      </c>
      <c r="H31" s="3" t="s">
        <v>90</v>
      </c>
      <c r="I31" s="3">
        <v>1</v>
      </c>
      <c r="J31" s="3">
        <v>0</v>
      </c>
      <c r="K31" s="3">
        <v>0</v>
      </c>
      <c r="L31" s="3">
        <v>40</v>
      </c>
      <c r="M31" s="3" t="s">
        <v>78</v>
      </c>
      <c r="N31" s="3" t="s">
        <v>424</v>
      </c>
      <c r="O31" s="4">
        <v>45881</v>
      </c>
      <c r="P31" s="4">
        <v>45882</v>
      </c>
      <c r="Q31" s="3" t="s">
        <v>41</v>
      </c>
      <c r="R31" s="3" t="s">
        <v>24</v>
      </c>
      <c r="S31" s="4">
        <v>45922</v>
      </c>
    </row>
    <row r="32" spans="1:19" x14ac:dyDescent="0.2">
      <c r="A32" s="3">
        <v>7731</v>
      </c>
      <c r="B32" s="3" t="s">
        <v>19</v>
      </c>
      <c r="C32" s="3" t="s">
        <v>290</v>
      </c>
      <c r="D32" s="3" t="s">
        <v>35</v>
      </c>
      <c r="E32" s="3" t="s">
        <v>22</v>
      </c>
      <c r="F32" s="3" t="s">
        <v>23</v>
      </c>
      <c r="G32" s="3" t="s">
        <v>24</v>
      </c>
      <c r="H32" s="3" t="s">
        <v>25</v>
      </c>
      <c r="I32" s="3">
        <v>1</v>
      </c>
      <c r="J32" s="3">
        <v>1</v>
      </c>
      <c r="K32" s="3">
        <v>1</v>
      </c>
      <c r="L32" s="3">
        <v>0</v>
      </c>
      <c r="M32" s="3" t="s">
        <v>38</v>
      </c>
      <c r="N32" s="3" t="s">
        <v>291</v>
      </c>
      <c r="O32" s="4">
        <v>45881</v>
      </c>
      <c r="P32" s="4">
        <v>45881</v>
      </c>
      <c r="Q32" s="3" t="s">
        <v>28</v>
      </c>
      <c r="R32" s="3" t="s">
        <v>24</v>
      </c>
      <c r="S32" s="4">
        <v>45881</v>
      </c>
    </row>
    <row r="33" spans="1:19" x14ac:dyDescent="0.2">
      <c r="A33" s="3">
        <v>7732</v>
      </c>
      <c r="B33" s="3" t="s">
        <v>19</v>
      </c>
      <c r="C33" s="3" t="s">
        <v>290</v>
      </c>
      <c r="D33" s="3" t="s">
        <v>31</v>
      </c>
      <c r="E33" s="3" t="s">
        <v>61</v>
      </c>
      <c r="F33" s="3" t="s">
        <v>23</v>
      </c>
      <c r="G33" s="3" t="s">
        <v>24</v>
      </c>
      <c r="H33" s="3" t="s">
        <v>25</v>
      </c>
      <c r="I33" s="3">
        <v>9</v>
      </c>
      <c r="J33" s="3">
        <v>0</v>
      </c>
      <c r="K33" s="3">
        <v>0</v>
      </c>
      <c r="L33" s="3">
        <v>65</v>
      </c>
      <c r="M33" s="3" t="s">
        <v>215</v>
      </c>
      <c r="N33" s="3" t="s">
        <v>294</v>
      </c>
      <c r="O33" s="4">
        <v>45881</v>
      </c>
      <c r="P33" s="4">
        <v>45881</v>
      </c>
      <c r="Q33" s="3" t="s">
        <v>28</v>
      </c>
      <c r="R33" s="3" t="s">
        <v>24</v>
      </c>
      <c r="S33" s="4">
        <v>45946</v>
      </c>
    </row>
    <row r="34" spans="1:19" x14ac:dyDescent="0.2">
      <c r="A34" s="3">
        <v>7733</v>
      </c>
      <c r="B34" s="3" t="s">
        <v>19</v>
      </c>
      <c r="C34" s="3" t="s">
        <v>426</v>
      </c>
      <c r="D34" s="3" t="s">
        <v>427</v>
      </c>
      <c r="E34" s="3" t="s">
        <v>22</v>
      </c>
      <c r="F34" s="3" t="s">
        <v>23</v>
      </c>
      <c r="G34" s="3" t="s">
        <v>24</v>
      </c>
      <c r="H34" s="3" t="s">
        <v>25</v>
      </c>
      <c r="I34" s="3">
        <v>1</v>
      </c>
      <c r="J34" s="3">
        <v>1</v>
      </c>
      <c r="K34" s="3">
        <v>1</v>
      </c>
      <c r="L34" s="3">
        <v>0</v>
      </c>
      <c r="M34" s="3" t="s">
        <v>38</v>
      </c>
      <c r="N34" s="3" t="s">
        <v>428</v>
      </c>
      <c r="O34" s="4">
        <v>45881</v>
      </c>
      <c r="P34" s="4">
        <v>45881</v>
      </c>
      <c r="Q34" s="3" t="s">
        <v>28</v>
      </c>
      <c r="R34" s="3" t="s">
        <v>24</v>
      </c>
      <c r="S34" s="4">
        <v>45881</v>
      </c>
    </row>
    <row r="35" spans="1:19" x14ac:dyDescent="0.2">
      <c r="A35" s="3">
        <v>7734</v>
      </c>
      <c r="B35" s="3" t="s">
        <v>19</v>
      </c>
      <c r="C35" s="3" t="s">
        <v>367</v>
      </c>
      <c r="D35" s="3" t="s">
        <v>21</v>
      </c>
      <c r="E35" s="3" t="s">
        <v>61</v>
      </c>
      <c r="F35" s="3" t="s">
        <v>23</v>
      </c>
      <c r="G35" s="3" t="s">
        <v>24</v>
      </c>
      <c r="H35" s="3" t="s">
        <v>25</v>
      </c>
      <c r="I35" s="3">
        <v>3</v>
      </c>
      <c r="J35" s="3">
        <v>0</v>
      </c>
      <c r="K35" s="3">
        <v>0</v>
      </c>
      <c r="L35" s="3">
        <v>27</v>
      </c>
      <c r="M35" s="3" t="s">
        <v>36</v>
      </c>
      <c r="N35" s="3" t="s">
        <v>75</v>
      </c>
      <c r="O35" s="4">
        <v>45881</v>
      </c>
      <c r="P35" s="4">
        <v>45889</v>
      </c>
      <c r="Q35" s="3" t="s">
        <v>28</v>
      </c>
      <c r="R35" s="3" t="s">
        <v>24</v>
      </c>
      <c r="S35" s="4">
        <v>45916</v>
      </c>
    </row>
    <row r="36" spans="1:19" x14ac:dyDescent="0.2">
      <c r="A36" s="3">
        <v>7735</v>
      </c>
      <c r="B36" s="3" t="s">
        <v>19</v>
      </c>
      <c r="C36" s="3" t="s">
        <v>290</v>
      </c>
      <c r="D36" s="3" t="s">
        <v>31</v>
      </c>
      <c r="E36" s="3" t="s">
        <v>161</v>
      </c>
      <c r="F36" s="3" t="s">
        <v>23</v>
      </c>
      <c r="G36" s="3" t="s">
        <v>24</v>
      </c>
      <c r="H36" s="3" t="s">
        <v>25</v>
      </c>
      <c r="I36" s="3">
        <v>6</v>
      </c>
      <c r="J36" s="3">
        <v>0</v>
      </c>
      <c r="K36" s="3">
        <v>0</v>
      </c>
      <c r="L36" s="3">
        <v>65</v>
      </c>
      <c r="M36" s="3" t="s">
        <v>38</v>
      </c>
      <c r="N36" s="3" t="s">
        <v>291</v>
      </c>
      <c r="O36" s="4">
        <v>45881</v>
      </c>
      <c r="P36" s="4">
        <v>45881</v>
      </c>
      <c r="Q36" s="3" t="s">
        <v>28</v>
      </c>
      <c r="R36" s="3" t="s">
        <v>24</v>
      </c>
      <c r="S36" s="4">
        <v>45946</v>
      </c>
    </row>
    <row r="37" spans="1:19" x14ac:dyDescent="0.2">
      <c r="A37" s="3">
        <v>7736</v>
      </c>
      <c r="B37" s="3" t="s">
        <v>19</v>
      </c>
      <c r="C37" s="3" t="s">
        <v>293</v>
      </c>
      <c r="D37" s="3" t="s">
        <v>31</v>
      </c>
      <c r="E37" s="3" t="s">
        <v>61</v>
      </c>
      <c r="F37" s="3" t="s">
        <v>349</v>
      </c>
      <c r="G37" s="3" t="s">
        <v>24</v>
      </c>
      <c r="H37" s="3" t="s">
        <v>25</v>
      </c>
      <c r="I37" s="3">
        <v>4</v>
      </c>
      <c r="J37" s="3">
        <v>0</v>
      </c>
      <c r="K37" s="3">
        <v>0</v>
      </c>
      <c r="L37" s="3">
        <v>22</v>
      </c>
      <c r="M37" s="3" t="s">
        <v>36</v>
      </c>
      <c r="N37" s="3" t="s">
        <v>429</v>
      </c>
      <c r="O37" s="4">
        <v>45881</v>
      </c>
      <c r="P37" s="4">
        <v>45881</v>
      </c>
      <c r="Q37" s="3" t="s">
        <v>28</v>
      </c>
      <c r="R37" s="3" t="s">
        <v>24</v>
      </c>
      <c r="S37" s="4">
        <v>45903</v>
      </c>
    </row>
    <row r="38" spans="1:19" x14ac:dyDescent="0.2">
      <c r="A38" s="3">
        <v>7738</v>
      </c>
      <c r="B38" s="3" t="s">
        <v>139</v>
      </c>
      <c r="C38" s="3" t="s">
        <v>430</v>
      </c>
      <c r="D38" s="3" t="s">
        <v>89</v>
      </c>
      <c r="E38" s="3" t="s">
        <v>22</v>
      </c>
      <c r="F38" s="3" t="s">
        <v>349</v>
      </c>
      <c r="G38" s="3" t="s">
        <v>24</v>
      </c>
      <c r="H38" s="3" t="s">
        <v>142</v>
      </c>
      <c r="I38" s="3">
        <v>4</v>
      </c>
      <c r="J38" s="3">
        <v>1</v>
      </c>
      <c r="K38" s="3">
        <v>1</v>
      </c>
      <c r="L38" s="3">
        <v>57</v>
      </c>
      <c r="M38" s="3" t="s">
        <v>78</v>
      </c>
      <c r="N38" s="3" t="s">
        <v>431</v>
      </c>
      <c r="O38" s="4">
        <v>45881</v>
      </c>
      <c r="P38" s="4">
        <v>45889</v>
      </c>
      <c r="Q38" s="3" t="s">
        <v>28</v>
      </c>
      <c r="R38" s="3" t="s">
        <v>24</v>
      </c>
      <c r="S38" s="4">
        <v>45946</v>
      </c>
    </row>
    <row r="39" spans="1:19" x14ac:dyDescent="0.2">
      <c r="A39" s="3">
        <v>7741</v>
      </c>
      <c r="B39" s="3" t="s">
        <v>208</v>
      </c>
      <c r="C39" s="3" t="s">
        <v>432</v>
      </c>
      <c r="D39" s="3" t="s">
        <v>182</v>
      </c>
      <c r="E39" s="3" t="s">
        <v>22</v>
      </c>
      <c r="F39" s="3" t="s">
        <v>107</v>
      </c>
      <c r="G39" s="3" t="s">
        <v>24</v>
      </c>
      <c r="H39" s="3" t="s">
        <v>211</v>
      </c>
      <c r="I39" s="3">
        <v>1</v>
      </c>
      <c r="J39" s="3">
        <v>1</v>
      </c>
      <c r="K39" s="3">
        <v>1</v>
      </c>
      <c r="L39" s="3">
        <v>0</v>
      </c>
      <c r="M39" s="3" t="s">
        <v>36</v>
      </c>
      <c r="N39" s="3" t="s">
        <v>433</v>
      </c>
      <c r="O39" s="4">
        <v>45882</v>
      </c>
      <c r="P39" s="4">
        <v>45882</v>
      </c>
      <c r="Q39" s="3" t="s">
        <v>34</v>
      </c>
      <c r="R39" s="3" t="s">
        <v>24</v>
      </c>
      <c r="S39" s="4">
        <v>45882</v>
      </c>
    </row>
    <row r="40" spans="1:19" x14ac:dyDescent="0.2">
      <c r="A40" s="3">
        <v>7742</v>
      </c>
      <c r="B40" s="3" t="s">
        <v>57</v>
      </c>
      <c r="C40" s="3" t="s">
        <v>173</v>
      </c>
      <c r="D40" s="3" t="s">
        <v>21</v>
      </c>
      <c r="E40" s="3" t="s">
        <v>22</v>
      </c>
      <c r="F40" s="3"/>
      <c r="G40" s="3" t="s">
        <v>24</v>
      </c>
      <c r="H40" s="3" t="s">
        <v>59</v>
      </c>
      <c r="I40" s="3">
        <v>1</v>
      </c>
      <c r="J40" s="3">
        <v>1</v>
      </c>
      <c r="K40" s="3">
        <v>1</v>
      </c>
      <c r="L40" s="3">
        <v>5</v>
      </c>
      <c r="M40" s="3" t="s">
        <v>36</v>
      </c>
      <c r="N40" s="3" t="s">
        <v>434</v>
      </c>
      <c r="O40" s="4">
        <v>45882</v>
      </c>
      <c r="P40" s="4">
        <v>45882</v>
      </c>
      <c r="Q40" s="3" t="s">
        <v>28</v>
      </c>
      <c r="R40" s="3" t="s">
        <v>47</v>
      </c>
      <c r="S40" s="4">
        <v>45887</v>
      </c>
    </row>
    <row r="41" spans="1:19" x14ac:dyDescent="0.2">
      <c r="A41" s="3">
        <v>7743</v>
      </c>
      <c r="B41" s="3" t="s">
        <v>208</v>
      </c>
      <c r="C41" s="3" t="s">
        <v>432</v>
      </c>
      <c r="D41" s="3" t="s">
        <v>182</v>
      </c>
      <c r="E41" s="3" t="s">
        <v>22</v>
      </c>
      <c r="F41" s="3" t="s">
        <v>107</v>
      </c>
      <c r="G41" s="3" t="s">
        <v>24</v>
      </c>
      <c r="H41" s="3" t="s">
        <v>211</v>
      </c>
      <c r="I41" s="3">
        <v>1</v>
      </c>
      <c r="J41" s="3">
        <v>1</v>
      </c>
      <c r="K41" s="3">
        <v>1</v>
      </c>
      <c r="L41" s="3">
        <v>0</v>
      </c>
      <c r="M41" s="3" t="s">
        <v>108</v>
      </c>
      <c r="N41" s="3" t="s">
        <v>56</v>
      </c>
      <c r="O41" s="4">
        <v>45882</v>
      </c>
      <c r="P41" s="4">
        <v>45882</v>
      </c>
      <c r="Q41" s="3" t="s">
        <v>34</v>
      </c>
      <c r="R41" s="3" t="s">
        <v>24</v>
      </c>
      <c r="S41" s="4">
        <v>45882</v>
      </c>
    </row>
    <row r="42" spans="1:19" x14ac:dyDescent="0.2">
      <c r="A42" s="3">
        <v>7744</v>
      </c>
      <c r="B42" s="3" t="s">
        <v>435</v>
      </c>
      <c r="C42" s="3" t="s">
        <v>436</v>
      </c>
      <c r="D42" s="3" t="s">
        <v>145</v>
      </c>
      <c r="E42" s="3" t="s">
        <v>171</v>
      </c>
      <c r="F42" s="3"/>
      <c r="G42" s="3" t="s">
        <v>24</v>
      </c>
      <c r="H42" s="3" t="s">
        <v>190</v>
      </c>
      <c r="I42" s="3">
        <v>4</v>
      </c>
      <c r="J42" s="3">
        <v>1</v>
      </c>
      <c r="K42" s="3">
        <v>0</v>
      </c>
      <c r="L42" s="3">
        <v>5</v>
      </c>
      <c r="M42" s="3" t="s">
        <v>60</v>
      </c>
      <c r="N42" s="3" t="s">
        <v>437</v>
      </c>
      <c r="O42" s="4">
        <v>45882</v>
      </c>
      <c r="P42" s="4">
        <v>45903</v>
      </c>
      <c r="Q42" s="3" t="s">
        <v>28</v>
      </c>
      <c r="R42" s="3" t="s">
        <v>24</v>
      </c>
      <c r="S42" s="4">
        <v>45908</v>
      </c>
    </row>
    <row r="43" spans="1:19" x14ac:dyDescent="0.2">
      <c r="A43" s="3">
        <v>7745</v>
      </c>
      <c r="B43" s="3" t="s">
        <v>208</v>
      </c>
      <c r="C43" s="3" t="s">
        <v>432</v>
      </c>
      <c r="D43" s="3" t="s">
        <v>89</v>
      </c>
      <c r="E43" s="3" t="s">
        <v>22</v>
      </c>
      <c r="F43" s="3" t="s">
        <v>238</v>
      </c>
      <c r="G43" s="3" t="s">
        <v>24</v>
      </c>
      <c r="H43" s="3" t="s">
        <v>211</v>
      </c>
      <c r="I43" s="3">
        <v>1</v>
      </c>
      <c r="J43" s="3">
        <v>1</v>
      </c>
      <c r="K43" s="3">
        <v>1</v>
      </c>
      <c r="L43" s="3">
        <v>0</v>
      </c>
      <c r="M43" s="3" t="s">
        <v>215</v>
      </c>
      <c r="N43" s="3" t="s">
        <v>56</v>
      </c>
      <c r="O43" s="4">
        <v>45882</v>
      </c>
      <c r="P43" s="4">
        <v>45882</v>
      </c>
      <c r="Q43" s="3" t="s">
        <v>34</v>
      </c>
      <c r="R43" s="3" t="s">
        <v>24</v>
      </c>
      <c r="S43" s="4">
        <v>45882</v>
      </c>
    </row>
    <row r="44" spans="1:19" x14ac:dyDescent="0.2">
      <c r="A44" s="3">
        <v>7746</v>
      </c>
      <c r="B44" s="3" t="s">
        <v>338</v>
      </c>
      <c r="C44" s="3" t="s">
        <v>339</v>
      </c>
      <c r="D44" s="3" t="s">
        <v>54</v>
      </c>
      <c r="E44" s="3" t="s">
        <v>22</v>
      </c>
      <c r="F44" s="3" t="s">
        <v>313</v>
      </c>
      <c r="G44" s="3" t="s">
        <v>24</v>
      </c>
      <c r="H44" s="3" t="s">
        <v>32</v>
      </c>
      <c r="I44" s="3">
        <v>1</v>
      </c>
      <c r="J44" s="3">
        <v>1</v>
      </c>
      <c r="K44" s="3">
        <v>1</v>
      </c>
      <c r="L44" s="3">
        <v>0</v>
      </c>
      <c r="M44" s="3" t="s">
        <v>108</v>
      </c>
      <c r="N44" s="3" t="s">
        <v>56</v>
      </c>
      <c r="O44" s="4">
        <v>45883</v>
      </c>
      <c r="P44" s="4">
        <v>45883</v>
      </c>
      <c r="Q44" s="3" t="s">
        <v>34</v>
      </c>
      <c r="R44" s="3" t="s">
        <v>24</v>
      </c>
      <c r="S44" s="4">
        <v>45883</v>
      </c>
    </row>
    <row r="45" spans="1:19" x14ac:dyDescent="0.2">
      <c r="A45" s="3">
        <v>7747</v>
      </c>
      <c r="B45" s="3" t="s">
        <v>338</v>
      </c>
      <c r="C45" s="3" t="s">
        <v>339</v>
      </c>
      <c r="D45" s="3" t="s">
        <v>106</v>
      </c>
      <c r="E45" s="3" t="s">
        <v>22</v>
      </c>
      <c r="F45" s="3" t="s">
        <v>313</v>
      </c>
      <c r="G45" s="3" t="s">
        <v>24</v>
      </c>
      <c r="H45" s="3" t="s">
        <v>32</v>
      </c>
      <c r="I45" s="3">
        <v>1</v>
      </c>
      <c r="J45" s="3">
        <v>1</v>
      </c>
      <c r="K45" s="3">
        <v>1</v>
      </c>
      <c r="L45" s="3">
        <v>0</v>
      </c>
      <c r="M45" s="3" t="s">
        <v>108</v>
      </c>
      <c r="N45" s="3" t="s">
        <v>56</v>
      </c>
      <c r="O45" s="4">
        <v>45883</v>
      </c>
      <c r="P45" s="4">
        <v>45883</v>
      </c>
      <c r="Q45" s="3" t="s">
        <v>34</v>
      </c>
      <c r="R45" s="3" t="s">
        <v>24</v>
      </c>
      <c r="S45" s="4">
        <v>45883</v>
      </c>
    </row>
    <row r="46" spans="1:19" x14ac:dyDescent="0.2">
      <c r="A46" s="3">
        <v>7748</v>
      </c>
      <c r="B46" s="3" t="s">
        <v>338</v>
      </c>
      <c r="C46" s="3" t="s">
        <v>339</v>
      </c>
      <c r="D46" s="3" t="s">
        <v>180</v>
      </c>
      <c r="E46" s="3" t="s">
        <v>22</v>
      </c>
      <c r="F46" s="3" t="s">
        <v>107</v>
      </c>
      <c r="G46" s="3" t="s">
        <v>24</v>
      </c>
      <c r="H46" s="3" t="s">
        <v>32</v>
      </c>
      <c r="I46" s="3">
        <v>1</v>
      </c>
      <c r="J46" s="3">
        <v>1</v>
      </c>
      <c r="K46" s="3">
        <v>1</v>
      </c>
      <c r="L46" s="3">
        <v>0</v>
      </c>
      <c r="M46" s="3" t="s">
        <v>36</v>
      </c>
      <c r="N46" s="3" t="s">
        <v>56</v>
      </c>
      <c r="O46" s="4">
        <v>45883</v>
      </c>
      <c r="P46" s="4">
        <v>45883</v>
      </c>
      <c r="Q46" s="3" t="s">
        <v>34</v>
      </c>
      <c r="R46" s="3" t="s">
        <v>24</v>
      </c>
      <c r="S46" s="4">
        <v>45883</v>
      </c>
    </row>
    <row r="47" spans="1:19" x14ac:dyDescent="0.2">
      <c r="A47" s="3">
        <v>7749</v>
      </c>
      <c r="B47" s="3" t="s">
        <v>438</v>
      </c>
      <c r="C47" s="3" t="s">
        <v>439</v>
      </c>
      <c r="D47" s="3" t="s">
        <v>21</v>
      </c>
      <c r="E47" s="3" t="s">
        <v>22</v>
      </c>
      <c r="F47" s="3" t="s">
        <v>44</v>
      </c>
      <c r="G47" s="3" t="s">
        <v>24</v>
      </c>
      <c r="H47" s="3" t="s">
        <v>132</v>
      </c>
      <c r="I47" s="3">
        <v>4</v>
      </c>
      <c r="J47" s="3">
        <v>1</v>
      </c>
      <c r="K47" s="3">
        <v>1</v>
      </c>
      <c r="L47" s="3">
        <v>16</v>
      </c>
      <c r="M47" s="3" t="s">
        <v>36</v>
      </c>
      <c r="N47" s="3" t="s">
        <v>440</v>
      </c>
      <c r="O47" s="4">
        <v>45883</v>
      </c>
      <c r="P47" s="4">
        <v>45888</v>
      </c>
      <c r="Q47" s="3" t="s">
        <v>41</v>
      </c>
      <c r="R47" s="3" t="s">
        <v>47</v>
      </c>
      <c r="S47" s="4">
        <v>45904</v>
      </c>
    </row>
    <row r="48" spans="1:19" x14ac:dyDescent="0.2">
      <c r="A48" s="3">
        <v>7750</v>
      </c>
      <c r="B48" s="3" t="s">
        <v>441</v>
      </c>
      <c r="C48" s="3" t="s">
        <v>442</v>
      </c>
      <c r="D48" s="3" t="s">
        <v>234</v>
      </c>
      <c r="E48" s="3" t="s">
        <v>22</v>
      </c>
      <c r="F48" s="3" t="s">
        <v>44</v>
      </c>
      <c r="G48" s="3" t="s">
        <v>24</v>
      </c>
      <c r="H48" s="3" t="s">
        <v>443</v>
      </c>
      <c r="I48" s="3">
        <v>1</v>
      </c>
      <c r="J48" s="3">
        <v>1</v>
      </c>
      <c r="K48" s="3">
        <v>1</v>
      </c>
      <c r="L48" s="3">
        <v>6</v>
      </c>
      <c r="M48" s="3" t="s">
        <v>36</v>
      </c>
      <c r="N48" s="3" t="s">
        <v>437</v>
      </c>
      <c r="O48" s="4">
        <v>45886</v>
      </c>
      <c r="P48" s="4">
        <v>45888</v>
      </c>
      <c r="Q48" s="3" t="s">
        <v>28</v>
      </c>
      <c r="R48" s="3" t="s">
        <v>24</v>
      </c>
      <c r="S48" s="4">
        <v>45894</v>
      </c>
    </row>
    <row r="49" spans="1:19" x14ac:dyDescent="0.2">
      <c r="A49" s="3">
        <v>7751</v>
      </c>
      <c r="B49" s="3" t="s">
        <v>441</v>
      </c>
      <c r="C49" s="3" t="s">
        <v>442</v>
      </c>
      <c r="D49" s="3" t="s">
        <v>234</v>
      </c>
      <c r="E49" s="3" t="s">
        <v>22</v>
      </c>
      <c r="F49" s="3" t="s">
        <v>44</v>
      </c>
      <c r="G49" s="3" t="s">
        <v>24</v>
      </c>
      <c r="H49" s="3" t="s">
        <v>443</v>
      </c>
      <c r="I49" s="3">
        <v>1</v>
      </c>
      <c r="J49" s="3">
        <v>1</v>
      </c>
      <c r="K49" s="3">
        <v>1</v>
      </c>
      <c r="L49" s="3">
        <v>9</v>
      </c>
      <c r="M49" s="3" t="s">
        <v>36</v>
      </c>
      <c r="N49" s="3" t="s">
        <v>437</v>
      </c>
      <c r="O49" s="4">
        <v>45886</v>
      </c>
      <c r="P49" s="4">
        <v>45888</v>
      </c>
      <c r="Q49" s="3" t="s">
        <v>28</v>
      </c>
      <c r="R49" s="3" t="s">
        <v>24</v>
      </c>
      <c r="S49" s="4">
        <v>45897</v>
      </c>
    </row>
    <row r="50" spans="1:19" x14ac:dyDescent="0.2">
      <c r="A50" s="3">
        <v>7754</v>
      </c>
      <c r="B50" s="3" t="s">
        <v>444</v>
      </c>
      <c r="C50" s="3" t="s">
        <v>445</v>
      </c>
      <c r="D50" s="3" t="s">
        <v>343</v>
      </c>
      <c r="E50" s="3" t="s">
        <v>22</v>
      </c>
      <c r="F50" s="3" t="s">
        <v>349</v>
      </c>
      <c r="G50" s="3" t="s">
        <v>24</v>
      </c>
      <c r="H50" s="3" t="s">
        <v>190</v>
      </c>
      <c r="I50" s="3">
        <v>1</v>
      </c>
      <c r="J50" s="3">
        <v>1</v>
      </c>
      <c r="K50" s="3">
        <v>1</v>
      </c>
      <c r="L50" s="3">
        <v>26</v>
      </c>
      <c r="M50" s="3"/>
      <c r="N50" s="3" t="s">
        <v>56</v>
      </c>
      <c r="O50" s="4">
        <v>45888</v>
      </c>
      <c r="P50" s="4">
        <v>45890</v>
      </c>
      <c r="Q50" s="3" t="s">
        <v>34</v>
      </c>
      <c r="R50" s="3" t="s">
        <v>47</v>
      </c>
      <c r="S50" s="4">
        <v>45916</v>
      </c>
    </row>
    <row r="51" spans="1:19" x14ac:dyDescent="0.2">
      <c r="A51" s="3">
        <v>7755</v>
      </c>
      <c r="B51" s="3" t="s">
        <v>19</v>
      </c>
      <c r="C51" s="3" t="s">
        <v>446</v>
      </c>
      <c r="D51" s="3" t="s">
        <v>427</v>
      </c>
      <c r="E51" s="3" t="s">
        <v>22</v>
      </c>
      <c r="F51" s="3" t="s">
        <v>23</v>
      </c>
      <c r="G51" s="3" t="s">
        <v>24</v>
      </c>
      <c r="H51" s="3" t="s">
        <v>25</v>
      </c>
      <c r="I51" s="3">
        <v>1</v>
      </c>
      <c r="J51" s="3">
        <v>1</v>
      </c>
      <c r="K51" s="3">
        <v>1</v>
      </c>
      <c r="L51" s="3">
        <v>0</v>
      </c>
      <c r="M51" s="3" t="s">
        <v>38</v>
      </c>
      <c r="N51" s="3" t="s">
        <v>428</v>
      </c>
      <c r="O51" s="4">
        <v>45889</v>
      </c>
      <c r="P51" s="4">
        <v>45890</v>
      </c>
      <c r="Q51" s="3" t="s">
        <v>28</v>
      </c>
      <c r="R51" s="3" t="s">
        <v>24</v>
      </c>
      <c r="S51" s="4">
        <v>45890</v>
      </c>
    </row>
    <row r="52" spans="1:19" x14ac:dyDescent="0.2">
      <c r="A52" s="3">
        <v>7756</v>
      </c>
      <c r="B52" s="3" t="s">
        <v>19</v>
      </c>
      <c r="C52" s="3" t="s">
        <v>290</v>
      </c>
      <c r="D52" s="3" t="s">
        <v>31</v>
      </c>
      <c r="E52" s="3" t="s">
        <v>61</v>
      </c>
      <c r="F52" s="3" t="s">
        <v>23</v>
      </c>
      <c r="G52" s="3" t="s">
        <v>24</v>
      </c>
      <c r="H52" s="3" t="s">
        <v>25</v>
      </c>
      <c r="I52" s="3">
        <v>8</v>
      </c>
      <c r="J52" s="3">
        <v>0</v>
      </c>
      <c r="K52" s="3">
        <v>0</v>
      </c>
      <c r="L52" s="3">
        <v>18</v>
      </c>
      <c r="M52" s="3" t="s">
        <v>36</v>
      </c>
      <c r="N52" s="3" t="s">
        <v>428</v>
      </c>
      <c r="O52" s="4">
        <v>45889</v>
      </c>
      <c r="P52" s="4">
        <v>45892</v>
      </c>
      <c r="Q52" s="3" t="s">
        <v>28</v>
      </c>
      <c r="R52" s="3" t="s">
        <v>24</v>
      </c>
      <c r="S52" s="4">
        <v>45910</v>
      </c>
    </row>
    <row r="53" spans="1:19" x14ac:dyDescent="0.2">
      <c r="A53" s="3">
        <v>7758</v>
      </c>
      <c r="B53" s="3" t="s">
        <v>19</v>
      </c>
      <c r="C53" s="3" t="s">
        <v>367</v>
      </c>
      <c r="D53" s="3" t="s">
        <v>21</v>
      </c>
      <c r="E53" s="3" t="s">
        <v>61</v>
      </c>
      <c r="F53" s="3" t="s">
        <v>23</v>
      </c>
      <c r="G53" s="3" t="s">
        <v>24</v>
      </c>
      <c r="H53" s="3" t="s">
        <v>25</v>
      </c>
      <c r="I53" s="3">
        <v>3</v>
      </c>
      <c r="J53" s="3">
        <v>0</v>
      </c>
      <c r="K53" s="3">
        <v>0</v>
      </c>
      <c r="L53" s="3">
        <v>29</v>
      </c>
      <c r="M53" s="3" t="s">
        <v>36</v>
      </c>
      <c r="N53" s="3" t="s">
        <v>75</v>
      </c>
      <c r="O53" s="4">
        <v>45890</v>
      </c>
      <c r="P53" s="4">
        <v>45894</v>
      </c>
      <c r="Q53" s="3" t="s">
        <v>28</v>
      </c>
      <c r="R53" s="3" t="s">
        <v>24</v>
      </c>
      <c r="S53" s="4">
        <v>45923</v>
      </c>
    </row>
    <row r="54" spans="1:19" x14ac:dyDescent="0.2">
      <c r="A54" s="3">
        <v>7760</v>
      </c>
      <c r="B54" s="3" t="s">
        <v>447</v>
      </c>
      <c r="C54" s="3" t="s">
        <v>448</v>
      </c>
      <c r="D54" s="3" t="s">
        <v>137</v>
      </c>
      <c r="E54" s="3" t="s">
        <v>22</v>
      </c>
      <c r="F54" s="3"/>
      <c r="G54" s="3" t="s">
        <v>24</v>
      </c>
      <c r="H54" s="3" t="s">
        <v>230</v>
      </c>
      <c r="I54" s="3">
        <v>4</v>
      </c>
      <c r="J54" s="3">
        <v>1</v>
      </c>
      <c r="K54" s="3">
        <v>1</v>
      </c>
      <c r="L54" s="3">
        <v>14</v>
      </c>
      <c r="M54" s="3" t="s">
        <v>60</v>
      </c>
      <c r="N54" s="3" t="s">
        <v>279</v>
      </c>
      <c r="O54" s="4">
        <v>45890</v>
      </c>
      <c r="P54" s="4">
        <v>45909</v>
      </c>
      <c r="Q54" s="3" t="s">
        <v>41</v>
      </c>
      <c r="R54" s="3" t="s">
        <v>24</v>
      </c>
      <c r="S54" s="4">
        <v>45923</v>
      </c>
    </row>
    <row r="55" spans="1:19" x14ac:dyDescent="0.2">
      <c r="A55" s="3">
        <v>7761</v>
      </c>
      <c r="B55" s="3" t="s">
        <v>258</v>
      </c>
      <c r="C55" s="3" t="s">
        <v>259</v>
      </c>
      <c r="D55" s="3" t="s">
        <v>427</v>
      </c>
      <c r="E55" s="3" t="s">
        <v>22</v>
      </c>
      <c r="F55" s="3"/>
      <c r="G55" s="3" t="s">
        <v>24</v>
      </c>
      <c r="H55" s="3" t="s">
        <v>25</v>
      </c>
      <c r="I55" s="3">
        <v>1</v>
      </c>
      <c r="J55" s="3">
        <v>1</v>
      </c>
      <c r="K55" s="3">
        <v>1</v>
      </c>
      <c r="L55" s="3">
        <v>3</v>
      </c>
      <c r="M55" s="3" t="s">
        <v>38</v>
      </c>
      <c r="N55" s="3" t="s">
        <v>56</v>
      </c>
      <c r="O55" s="4">
        <v>45890</v>
      </c>
      <c r="P55" s="4">
        <v>45905</v>
      </c>
      <c r="Q55" s="3" t="s">
        <v>41</v>
      </c>
      <c r="R55" s="3" t="s">
        <v>24</v>
      </c>
      <c r="S55" s="4">
        <v>45908</v>
      </c>
    </row>
    <row r="56" spans="1:19" x14ac:dyDescent="0.2">
      <c r="A56" s="3">
        <v>7765</v>
      </c>
      <c r="B56" s="3" t="s">
        <v>449</v>
      </c>
      <c r="C56" s="3" t="s">
        <v>450</v>
      </c>
      <c r="D56" s="3" t="s">
        <v>31</v>
      </c>
      <c r="E56" s="3" t="s">
        <v>22</v>
      </c>
      <c r="F56" s="3" t="s">
        <v>70</v>
      </c>
      <c r="G56" s="3" t="s">
        <v>24</v>
      </c>
      <c r="H56" s="3" t="s">
        <v>451</v>
      </c>
      <c r="I56" s="3">
        <v>1</v>
      </c>
      <c r="J56" s="3">
        <v>1</v>
      </c>
      <c r="K56" s="3">
        <v>1</v>
      </c>
      <c r="L56" s="3">
        <v>0</v>
      </c>
      <c r="M56" s="3" t="s">
        <v>36</v>
      </c>
      <c r="N56" s="3" t="s">
        <v>452</v>
      </c>
      <c r="O56" s="4">
        <v>45891</v>
      </c>
      <c r="P56" s="4">
        <v>45891</v>
      </c>
      <c r="Q56" s="3" t="s">
        <v>34</v>
      </c>
      <c r="R56" s="3" t="s">
        <v>24</v>
      </c>
      <c r="S56" s="4">
        <v>45891</v>
      </c>
    </row>
    <row r="57" spans="1:19" x14ac:dyDescent="0.2">
      <c r="A57" s="3">
        <v>7767</v>
      </c>
      <c r="B57" s="3" t="s">
        <v>258</v>
      </c>
      <c r="C57" s="3" t="s">
        <v>453</v>
      </c>
      <c r="D57" s="3" t="s">
        <v>260</v>
      </c>
      <c r="E57" s="3" t="s">
        <v>22</v>
      </c>
      <c r="F57" s="3" t="s">
        <v>229</v>
      </c>
      <c r="G57" s="3" t="s">
        <v>24</v>
      </c>
      <c r="H57" s="3" t="s">
        <v>25</v>
      </c>
      <c r="I57" s="3">
        <v>2</v>
      </c>
      <c r="J57" s="3">
        <v>1</v>
      </c>
      <c r="K57" s="3">
        <v>1</v>
      </c>
      <c r="L57" s="3">
        <v>0</v>
      </c>
      <c r="M57" s="3" t="s">
        <v>38</v>
      </c>
      <c r="N57" s="3" t="s">
        <v>56</v>
      </c>
      <c r="O57" s="4">
        <v>45894</v>
      </c>
      <c r="P57" s="4">
        <v>45905</v>
      </c>
      <c r="Q57" s="3" t="s">
        <v>34</v>
      </c>
      <c r="R57" s="3" t="s">
        <v>24</v>
      </c>
      <c r="S57" s="4">
        <v>45905</v>
      </c>
    </row>
    <row r="58" spans="1:19" x14ac:dyDescent="0.2">
      <c r="A58" s="3">
        <v>7768</v>
      </c>
      <c r="B58" s="3" t="s">
        <v>19</v>
      </c>
      <c r="C58" s="3" t="s">
        <v>73</v>
      </c>
      <c r="D58" s="3" t="s">
        <v>74</v>
      </c>
      <c r="E58" s="3" t="s">
        <v>22</v>
      </c>
      <c r="F58" s="3" t="s">
        <v>23</v>
      </c>
      <c r="G58" s="3" t="s">
        <v>24</v>
      </c>
      <c r="H58" s="3" t="s">
        <v>25</v>
      </c>
      <c r="I58" s="3">
        <v>1</v>
      </c>
      <c r="J58" s="3">
        <v>1</v>
      </c>
      <c r="K58" s="3">
        <v>1</v>
      </c>
      <c r="L58" s="3">
        <v>0</v>
      </c>
      <c r="M58" s="3" t="s">
        <v>108</v>
      </c>
      <c r="N58" s="3" t="s">
        <v>454</v>
      </c>
      <c r="O58" s="4">
        <v>45894</v>
      </c>
      <c r="P58" s="4">
        <v>45897</v>
      </c>
      <c r="Q58" s="3" t="s">
        <v>34</v>
      </c>
      <c r="R58" s="3" t="s">
        <v>24</v>
      </c>
      <c r="S58" s="4">
        <v>45897</v>
      </c>
    </row>
    <row r="59" spans="1:19" x14ac:dyDescent="0.2">
      <c r="A59" s="3">
        <v>7769</v>
      </c>
      <c r="B59" s="3" t="s">
        <v>19</v>
      </c>
      <c r="C59" s="3" t="s">
        <v>73</v>
      </c>
      <c r="D59" s="3" t="s">
        <v>74</v>
      </c>
      <c r="E59" s="3" t="s">
        <v>22</v>
      </c>
      <c r="F59" s="3" t="s">
        <v>23</v>
      </c>
      <c r="G59" s="3" t="s">
        <v>24</v>
      </c>
      <c r="H59" s="3" t="s">
        <v>25</v>
      </c>
      <c r="I59" s="3">
        <v>1</v>
      </c>
      <c r="J59" s="3">
        <v>1</v>
      </c>
      <c r="K59" s="3">
        <v>1</v>
      </c>
      <c r="L59" s="3">
        <v>0</v>
      </c>
      <c r="M59" s="3" t="s">
        <v>36</v>
      </c>
      <c r="N59" s="3" t="s">
        <v>75</v>
      </c>
      <c r="O59" s="4">
        <v>45894</v>
      </c>
      <c r="P59" s="4">
        <v>45897</v>
      </c>
      <c r="Q59" s="3" t="s">
        <v>34</v>
      </c>
      <c r="R59" s="3" t="s">
        <v>24</v>
      </c>
      <c r="S59" s="4">
        <v>45897</v>
      </c>
    </row>
    <row r="60" spans="1:19" x14ac:dyDescent="0.2">
      <c r="A60" s="3">
        <v>7770</v>
      </c>
      <c r="B60" s="3" t="s">
        <v>19</v>
      </c>
      <c r="C60" s="3" t="s">
        <v>73</v>
      </c>
      <c r="D60" s="3" t="s">
        <v>74</v>
      </c>
      <c r="E60" s="3" t="s">
        <v>22</v>
      </c>
      <c r="F60" s="3" t="s">
        <v>23</v>
      </c>
      <c r="G60" s="3" t="s">
        <v>24</v>
      </c>
      <c r="H60" s="3" t="s">
        <v>25</v>
      </c>
      <c r="I60" s="3">
        <v>1</v>
      </c>
      <c r="J60" s="3">
        <v>1</v>
      </c>
      <c r="K60" s="3">
        <v>1</v>
      </c>
      <c r="L60" s="3">
        <v>0</v>
      </c>
      <c r="M60" s="3" t="s">
        <v>36</v>
      </c>
      <c r="N60" s="3" t="s">
        <v>75</v>
      </c>
      <c r="O60" s="4">
        <v>45894</v>
      </c>
      <c r="P60" s="4">
        <v>45897</v>
      </c>
      <c r="Q60" s="3" t="s">
        <v>34</v>
      </c>
      <c r="R60" s="3" t="s">
        <v>24</v>
      </c>
      <c r="S60" s="4">
        <v>45897</v>
      </c>
    </row>
    <row r="61" spans="1:19" x14ac:dyDescent="0.2">
      <c r="A61" s="3">
        <v>7772</v>
      </c>
      <c r="B61" s="3" t="s">
        <v>87</v>
      </c>
      <c r="C61" s="3" t="s">
        <v>455</v>
      </c>
      <c r="D61" s="3" t="s">
        <v>126</v>
      </c>
      <c r="E61" s="3" t="s">
        <v>22</v>
      </c>
      <c r="F61" s="3" t="s">
        <v>70</v>
      </c>
      <c r="G61" s="3" t="s">
        <v>24</v>
      </c>
      <c r="H61" s="3" t="s">
        <v>90</v>
      </c>
      <c r="I61" s="3">
        <v>5</v>
      </c>
      <c r="J61" s="3">
        <v>1</v>
      </c>
      <c r="K61" s="3">
        <v>1</v>
      </c>
      <c r="L61" s="3">
        <v>5</v>
      </c>
      <c r="M61" s="3" t="s">
        <v>36</v>
      </c>
      <c r="N61" s="3" t="s">
        <v>456</v>
      </c>
      <c r="O61" s="4">
        <v>45894</v>
      </c>
      <c r="P61" s="4">
        <v>45925</v>
      </c>
      <c r="Q61" s="3" t="s">
        <v>28</v>
      </c>
      <c r="R61" s="3" t="s">
        <v>24</v>
      </c>
      <c r="S61" s="4">
        <v>45930</v>
      </c>
    </row>
    <row r="62" spans="1:19" x14ac:dyDescent="0.2">
      <c r="A62" s="3">
        <v>7773</v>
      </c>
      <c r="B62" s="3" t="s">
        <v>63</v>
      </c>
      <c r="C62" s="3" t="s">
        <v>289</v>
      </c>
      <c r="D62" s="3" t="s">
        <v>276</v>
      </c>
      <c r="E62" s="3" t="s">
        <v>61</v>
      </c>
      <c r="F62" s="3" t="s">
        <v>44</v>
      </c>
      <c r="G62" s="3" t="s">
        <v>24</v>
      </c>
      <c r="H62" s="3" t="s">
        <v>66</v>
      </c>
      <c r="I62" s="3">
        <v>4</v>
      </c>
      <c r="J62" s="3">
        <v>0</v>
      </c>
      <c r="K62" s="3">
        <v>0</v>
      </c>
      <c r="L62" s="3">
        <v>41</v>
      </c>
      <c r="M62" s="3" t="s">
        <v>38</v>
      </c>
      <c r="N62" s="3" t="s">
        <v>457</v>
      </c>
      <c r="O62" s="4">
        <v>45894</v>
      </c>
      <c r="P62" s="4">
        <v>45898</v>
      </c>
      <c r="Q62" s="3" t="s">
        <v>28</v>
      </c>
      <c r="R62" s="3" t="s">
        <v>24</v>
      </c>
      <c r="S62" s="4">
        <v>45939</v>
      </c>
    </row>
    <row r="63" spans="1:19" x14ac:dyDescent="0.2">
      <c r="A63" s="3">
        <v>7776</v>
      </c>
      <c r="B63" s="3" t="s">
        <v>87</v>
      </c>
      <c r="C63" s="3" t="s">
        <v>458</v>
      </c>
      <c r="D63" s="3" t="s">
        <v>276</v>
      </c>
      <c r="E63" s="3" t="s">
        <v>22</v>
      </c>
      <c r="F63" s="3" t="s">
        <v>70</v>
      </c>
      <c r="G63" s="3" t="s">
        <v>24</v>
      </c>
      <c r="H63" s="3" t="s">
        <v>90</v>
      </c>
      <c r="I63" s="3">
        <v>2</v>
      </c>
      <c r="J63" s="3">
        <v>1</v>
      </c>
      <c r="K63" s="3">
        <v>1</v>
      </c>
      <c r="L63" s="3">
        <v>8</v>
      </c>
      <c r="M63" s="3" t="s">
        <v>36</v>
      </c>
      <c r="N63" s="3" t="s">
        <v>456</v>
      </c>
      <c r="O63" s="4">
        <v>45895</v>
      </c>
      <c r="P63" s="4">
        <v>45931</v>
      </c>
      <c r="Q63" s="3" t="s">
        <v>28</v>
      </c>
      <c r="R63" s="3" t="s">
        <v>24</v>
      </c>
      <c r="S63" s="4">
        <v>45939</v>
      </c>
    </row>
    <row r="64" spans="1:19" x14ac:dyDescent="0.2">
      <c r="A64" s="3">
        <v>7778</v>
      </c>
      <c r="B64" s="3" t="s">
        <v>19</v>
      </c>
      <c r="C64" s="3" t="s">
        <v>293</v>
      </c>
      <c r="D64" s="3" t="s">
        <v>31</v>
      </c>
      <c r="E64" s="3" t="s">
        <v>61</v>
      </c>
      <c r="F64" s="3" t="s">
        <v>459</v>
      </c>
      <c r="G64" s="3" t="s">
        <v>24</v>
      </c>
      <c r="H64" s="3" t="s">
        <v>25</v>
      </c>
      <c r="I64" s="3">
        <v>6</v>
      </c>
      <c r="J64" s="3">
        <v>1</v>
      </c>
      <c r="K64" s="3">
        <v>0</v>
      </c>
      <c r="L64" s="3">
        <v>25</v>
      </c>
      <c r="M64" s="3" t="s">
        <v>38</v>
      </c>
      <c r="N64" s="3" t="s">
        <v>56</v>
      </c>
      <c r="O64" s="4">
        <v>45895</v>
      </c>
      <c r="P64" s="4">
        <v>45940</v>
      </c>
      <c r="Q64" s="3" t="s">
        <v>28</v>
      </c>
      <c r="R64" s="3" t="s">
        <v>24</v>
      </c>
      <c r="S64" s="4">
        <v>45965</v>
      </c>
    </row>
    <row r="65" spans="1:19" x14ac:dyDescent="0.2">
      <c r="A65" s="3">
        <v>7779</v>
      </c>
      <c r="B65" s="3" t="s">
        <v>19</v>
      </c>
      <c r="C65" s="3" t="s">
        <v>413</v>
      </c>
      <c r="D65" s="3" t="s">
        <v>21</v>
      </c>
      <c r="E65" s="3" t="s">
        <v>161</v>
      </c>
      <c r="F65" s="3" t="s">
        <v>23</v>
      </c>
      <c r="G65" s="3" t="s">
        <v>24</v>
      </c>
      <c r="H65" s="3" t="s">
        <v>25</v>
      </c>
      <c r="I65" s="3">
        <v>3</v>
      </c>
      <c r="J65" s="3">
        <v>0</v>
      </c>
      <c r="K65" s="3">
        <v>0</v>
      </c>
      <c r="L65" s="3">
        <v>20</v>
      </c>
      <c r="M65" s="3" t="s">
        <v>38</v>
      </c>
      <c r="N65" s="3" t="s">
        <v>220</v>
      </c>
      <c r="O65" s="4">
        <v>45895</v>
      </c>
      <c r="P65" s="4">
        <v>45897</v>
      </c>
      <c r="Q65" s="3" t="s">
        <v>28</v>
      </c>
      <c r="R65" s="3" t="s">
        <v>24</v>
      </c>
      <c r="S65" s="4">
        <v>45917</v>
      </c>
    </row>
    <row r="66" spans="1:19" x14ac:dyDescent="0.2">
      <c r="A66" s="3">
        <v>7780</v>
      </c>
      <c r="B66" s="3" t="s">
        <v>63</v>
      </c>
      <c r="C66" s="3" t="s">
        <v>204</v>
      </c>
      <c r="D66" s="3" t="s">
        <v>65</v>
      </c>
      <c r="E66" s="3" t="s">
        <v>61</v>
      </c>
      <c r="F66" s="3" t="s">
        <v>44</v>
      </c>
      <c r="G66" s="3" t="s">
        <v>24</v>
      </c>
      <c r="H66" s="3" t="s">
        <v>66</v>
      </c>
      <c r="I66" s="3">
        <v>1</v>
      </c>
      <c r="J66" s="3">
        <v>0</v>
      </c>
      <c r="K66" s="3">
        <v>0</v>
      </c>
      <c r="L66" s="3">
        <v>7</v>
      </c>
      <c r="M66" s="3" t="s">
        <v>215</v>
      </c>
      <c r="N66" s="3" t="s">
        <v>460</v>
      </c>
      <c r="O66" s="4">
        <v>45895</v>
      </c>
      <c r="P66" s="4">
        <v>45896</v>
      </c>
      <c r="Q66" s="3" t="s">
        <v>28</v>
      </c>
      <c r="R66" s="3" t="s">
        <v>24</v>
      </c>
      <c r="S66" s="4">
        <v>45903</v>
      </c>
    </row>
    <row r="67" spans="1:19" x14ac:dyDescent="0.2">
      <c r="A67" s="3">
        <v>7783</v>
      </c>
      <c r="B67" s="3" t="s">
        <v>225</v>
      </c>
      <c r="C67" s="3" t="s">
        <v>226</v>
      </c>
      <c r="D67" s="3" t="s">
        <v>21</v>
      </c>
      <c r="E67" s="3" t="s">
        <v>22</v>
      </c>
      <c r="F67" s="3"/>
      <c r="G67" s="3" t="s">
        <v>24</v>
      </c>
      <c r="H67" s="3" t="s">
        <v>132</v>
      </c>
      <c r="I67" s="3">
        <v>1</v>
      </c>
      <c r="J67" s="3">
        <v>1</v>
      </c>
      <c r="K67" s="3">
        <v>1</v>
      </c>
      <c r="L67" s="3">
        <v>0</v>
      </c>
      <c r="M67" s="3"/>
      <c r="N67" s="3" t="s">
        <v>461</v>
      </c>
      <c r="O67" s="4">
        <v>45896</v>
      </c>
      <c r="P67" s="4">
        <v>45896</v>
      </c>
      <c r="Q67" s="3" t="s">
        <v>34</v>
      </c>
      <c r="R67" s="3" t="s">
        <v>24</v>
      </c>
      <c r="S67" s="4">
        <v>45896</v>
      </c>
    </row>
    <row r="68" spans="1:19" x14ac:dyDescent="0.2">
      <c r="A68" s="3">
        <v>7784</v>
      </c>
      <c r="B68" s="3" t="s">
        <v>19</v>
      </c>
      <c r="C68" s="3" t="s">
        <v>462</v>
      </c>
      <c r="D68" s="3" t="s">
        <v>126</v>
      </c>
      <c r="E68" s="3" t="s">
        <v>22</v>
      </c>
      <c r="F68" s="3" t="s">
        <v>349</v>
      </c>
      <c r="G68" s="3" t="s">
        <v>24</v>
      </c>
      <c r="H68" s="3" t="s">
        <v>25</v>
      </c>
      <c r="I68" s="3">
        <v>1</v>
      </c>
      <c r="J68" s="3">
        <v>1</v>
      </c>
      <c r="K68" s="3">
        <v>1</v>
      </c>
      <c r="L68" s="3">
        <v>4</v>
      </c>
      <c r="M68" s="3" t="s">
        <v>463</v>
      </c>
      <c r="N68" s="3" t="s">
        <v>464</v>
      </c>
      <c r="O68" s="4">
        <v>45896</v>
      </c>
      <c r="P68" s="4">
        <v>45961</v>
      </c>
      <c r="Q68" s="3" t="s">
        <v>28</v>
      </c>
      <c r="R68" s="3" t="s">
        <v>47</v>
      </c>
      <c r="S68" s="4">
        <v>45965</v>
      </c>
    </row>
    <row r="69" spans="1:19" x14ac:dyDescent="0.2">
      <c r="A69" s="3">
        <v>7785</v>
      </c>
      <c r="B69" s="3" t="s">
        <v>355</v>
      </c>
      <c r="C69" s="3" t="s">
        <v>465</v>
      </c>
      <c r="D69" s="3" t="s">
        <v>89</v>
      </c>
      <c r="E69" s="3" t="s">
        <v>22</v>
      </c>
      <c r="F69" s="3"/>
      <c r="G69" s="3" t="s">
        <v>24</v>
      </c>
      <c r="H69" s="3" t="s">
        <v>25</v>
      </c>
      <c r="I69" s="3">
        <v>1</v>
      </c>
      <c r="J69" s="3">
        <v>1</v>
      </c>
      <c r="K69" s="3">
        <v>1</v>
      </c>
      <c r="L69" s="3">
        <v>2</v>
      </c>
      <c r="M69" s="3" t="s">
        <v>38</v>
      </c>
      <c r="N69" s="3" t="s">
        <v>466</v>
      </c>
      <c r="O69" s="4">
        <v>45896</v>
      </c>
      <c r="P69" s="4">
        <v>45903</v>
      </c>
      <c r="Q69" s="3" t="s">
        <v>34</v>
      </c>
      <c r="R69" s="3" t="s">
        <v>24</v>
      </c>
      <c r="S69" s="4">
        <v>45905</v>
      </c>
    </row>
    <row r="70" spans="1:19" x14ac:dyDescent="0.2">
      <c r="A70" s="3">
        <v>7787</v>
      </c>
      <c r="B70" s="3" t="s">
        <v>19</v>
      </c>
      <c r="C70" s="3" t="s">
        <v>73</v>
      </c>
      <c r="D70" s="3" t="s">
        <v>31</v>
      </c>
      <c r="E70" s="3" t="s">
        <v>22</v>
      </c>
      <c r="F70" s="3" t="s">
        <v>23</v>
      </c>
      <c r="G70" s="3" t="s">
        <v>24</v>
      </c>
      <c r="H70" s="3" t="s">
        <v>25</v>
      </c>
      <c r="I70" s="3">
        <v>1</v>
      </c>
      <c r="J70" s="3">
        <v>1</v>
      </c>
      <c r="K70" s="3">
        <v>1</v>
      </c>
      <c r="L70" s="3">
        <v>0</v>
      </c>
      <c r="M70" s="3" t="s">
        <v>38</v>
      </c>
      <c r="N70" s="3" t="s">
        <v>291</v>
      </c>
      <c r="O70" s="4">
        <v>45897</v>
      </c>
      <c r="P70" s="4">
        <v>45901</v>
      </c>
      <c r="Q70" s="3" t="s">
        <v>34</v>
      </c>
      <c r="R70" s="3" t="s">
        <v>24</v>
      </c>
      <c r="S70" s="4">
        <v>45901</v>
      </c>
    </row>
    <row r="71" spans="1:19" x14ac:dyDescent="0.2">
      <c r="A71" s="3">
        <v>7788</v>
      </c>
      <c r="B71" s="3" t="s">
        <v>271</v>
      </c>
      <c r="C71" s="3" t="s">
        <v>398</v>
      </c>
      <c r="D71" s="3" t="s">
        <v>467</v>
      </c>
      <c r="E71" s="3" t="s">
        <v>22</v>
      </c>
      <c r="F71" s="3" t="s">
        <v>107</v>
      </c>
      <c r="G71" s="3" t="s">
        <v>24</v>
      </c>
      <c r="H71" s="3" t="s">
        <v>273</v>
      </c>
      <c r="I71" s="3">
        <v>1</v>
      </c>
      <c r="J71" s="3">
        <v>1</v>
      </c>
      <c r="K71" s="3">
        <v>1</v>
      </c>
      <c r="L71" s="3">
        <v>0</v>
      </c>
      <c r="M71" s="3" t="s">
        <v>36</v>
      </c>
      <c r="N71" s="3" t="s">
        <v>468</v>
      </c>
      <c r="O71" s="4">
        <v>45898</v>
      </c>
      <c r="P71" s="4">
        <v>45902</v>
      </c>
      <c r="Q71" s="3" t="s">
        <v>34</v>
      </c>
      <c r="R71" s="3" t="s">
        <v>24</v>
      </c>
      <c r="S71" s="4">
        <v>45902</v>
      </c>
    </row>
    <row r="72" spans="1:19" x14ac:dyDescent="0.2">
      <c r="A72" s="3">
        <v>7789</v>
      </c>
      <c r="B72" s="3" t="s">
        <v>208</v>
      </c>
      <c r="C72" s="3" t="s">
        <v>209</v>
      </c>
      <c r="D72" s="3" t="s">
        <v>182</v>
      </c>
      <c r="E72" s="3" t="s">
        <v>22</v>
      </c>
      <c r="F72" s="3" t="s">
        <v>107</v>
      </c>
      <c r="G72" s="3" t="s">
        <v>24</v>
      </c>
      <c r="H72" s="3" t="s">
        <v>211</v>
      </c>
      <c r="I72" s="3">
        <v>1</v>
      </c>
      <c r="J72" s="3">
        <v>1</v>
      </c>
      <c r="K72" s="3">
        <v>1</v>
      </c>
      <c r="L72" s="3">
        <v>0</v>
      </c>
      <c r="M72" s="3" t="s">
        <v>36</v>
      </c>
      <c r="N72" s="3" t="s">
        <v>109</v>
      </c>
      <c r="O72" s="4">
        <v>45898</v>
      </c>
      <c r="P72" s="4">
        <v>45905</v>
      </c>
      <c r="Q72" s="3" t="s">
        <v>34</v>
      </c>
      <c r="R72" s="3" t="s">
        <v>47</v>
      </c>
      <c r="S72" s="4">
        <v>45905</v>
      </c>
    </row>
    <row r="73" spans="1:19" x14ac:dyDescent="0.2">
      <c r="A73" s="3">
        <v>7792</v>
      </c>
      <c r="B73" s="3" t="s">
        <v>408</v>
      </c>
      <c r="C73" s="3" t="s">
        <v>409</v>
      </c>
      <c r="D73" s="3" t="s">
        <v>123</v>
      </c>
      <c r="E73" s="3" t="s">
        <v>22</v>
      </c>
      <c r="F73" s="3" t="s">
        <v>44</v>
      </c>
      <c r="G73" s="3" t="s">
        <v>24</v>
      </c>
      <c r="H73" s="3" t="s">
        <v>132</v>
      </c>
      <c r="I73" s="3">
        <v>1</v>
      </c>
      <c r="J73" s="3">
        <v>1</v>
      </c>
      <c r="K73" s="3">
        <v>1</v>
      </c>
      <c r="L73" s="3">
        <v>4</v>
      </c>
      <c r="M73" s="3" t="s">
        <v>60</v>
      </c>
      <c r="N73" s="3" t="s">
        <v>389</v>
      </c>
      <c r="O73" s="4">
        <v>45898</v>
      </c>
      <c r="P73" s="4">
        <v>45901</v>
      </c>
      <c r="Q73" s="3" t="s">
        <v>41</v>
      </c>
      <c r="R73" s="3" t="s">
        <v>24</v>
      </c>
      <c r="S73" s="4">
        <v>45905</v>
      </c>
    </row>
    <row r="74" spans="1:19" x14ac:dyDescent="0.2">
      <c r="A74" s="3">
        <v>7793</v>
      </c>
      <c r="B74" s="3" t="s">
        <v>19</v>
      </c>
      <c r="C74" s="3" t="s">
        <v>20</v>
      </c>
      <c r="D74" s="3" t="s">
        <v>21</v>
      </c>
      <c r="E74" s="3" t="s">
        <v>22</v>
      </c>
      <c r="F74" s="3" t="s">
        <v>349</v>
      </c>
      <c r="G74" s="3" t="s">
        <v>24</v>
      </c>
      <c r="H74" s="3" t="s">
        <v>25</v>
      </c>
      <c r="I74" s="3">
        <v>6</v>
      </c>
      <c r="J74" s="3">
        <v>1</v>
      </c>
      <c r="K74" s="3">
        <v>1</v>
      </c>
      <c r="L74" s="3">
        <v>5</v>
      </c>
      <c r="M74" s="3" t="s">
        <v>108</v>
      </c>
      <c r="N74" s="3" t="s">
        <v>469</v>
      </c>
      <c r="O74" s="4">
        <v>45898</v>
      </c>
      <c r="P74" s="4">
        <v>45931</v>
      </c>
      <c r="Q74" s="3" t="s">
        <v>41</v>
      </c>
      <c r="R74" s="3" t="s">
        <v>47</v>
      </c>
      <c r="S74" s="4">
        <v>45936</v>
      </c>
    </row>
    <row r="75" spans="1:19" x14ac:dyDescent="0.2">
      <c r="A75" s="3">
        <v>7794</v>
      </c>
      <c r="B75" s="3" t="s">
        <v>19</v>
      </c>
      <c r="C75" s="3" t="s">
        <v>20</v>
      </c>
      <c r="D75" s="3" t="s">
        <v>21</v>
      </c>
      <c r="E75" s="3" t="s">
        <v>22</v>
      </c>
      <c r="F75" s="3" t="s">
        <v>349</v>
      </c>
      <c r="G75" s="3" t="s">
        <v>24</v>
      </c>
      <c r="H75" s="3" t="s">
        <v>25</v>
      </c>
      <c r="I75" s="3">
        <v>1</v>
      </c>
      <c r="J75" s="3">
        <v>1</v>
      </c>
      <c r="K75" s="3">
        <v>1</v>
      </c>
      <c r="L75" s="3">
        <v>12</v>
      </c>
      <c r="M75" s="3" t="s">
        <v>38</v>
      </c>
      <c r="N75" s="3" t="s">
        <v>464</v>
      </c>
      <c r="O75" s="4">
        <v>45898</v>
      </c>
      <c r="P75" s="4">
        <v>45905</v>
      </c>
      <c r="Q75" s="3" t="s">
        <v>34</v>
      </c>
      <c r="R75" s="3" t="s">
        <v>24</v>
      </c>
      <c r="S75" s="4">
        <v>45917</v>
      </c>
    </row>
    <row r="77" spans="1:19" x14ac:dyDescent="0.2">
      <c r="I77">
        <f>SUM(I2:I75)</f>
        <v>164</v>
      </c>
      <c r="J77">
        <f>SUM(J2:J75)</f>
        <v>56</v>
      </c>
    </row>
    <row r="79" spans="1:19" x14ac:dyDescent="0.2">
      <c r="I79" t="s">
        <v>515</v>
      </c>
      <c r="J79" s="5">
        <f>J77/I77</f>
        <v>0.34146341463414637</v>
      </c>
    </row>
    <row r="80" spans="1:19" x14ac:dyDescent="0.2">
      <c r="I80" t="s">
        <v>516</v>
      </c>
      <c r="J80" s="5">
        <f>('07 - July'!J68+'08 - Aug'!J77)/('07 - July'!I68+'08 - Aug'!I77)</f>
        <v>0.34827586206896549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DB05D-ED54-0440-8704-9CD6EC795F76}">
  <dimension ref="A1:S66"/>
  <sheetViews>
    <sheetView tabSelected="1" topLeftCell="A38" workbookViewId="0">
      <selection activeCell="I62" sqref="I62"/>
    </sheetView>
  </sheetViews>
  <sheetFormatPr baseColWidth="10" defaultRowHeight="15" x14ac:dyDescent="0.2"/>
  <sheetData>
    <row r="1" spans="1:1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s="3">
        <v>7797</v>
      </c>
      <c r="B2" s="3" t="s">
        <v>470</v>
      </c>
      <c r="C2" s="3" t="s">
        <v>471</v>
      </c>
      <c r="D2" s="3" t="s">
        <v>126</v>
      </c>
      <c r="E2" s="3" t="s">
        <v>61</v>
      </c>
      <c r="F2" s="3"/>
      <c r="G2" s="3" t="s">
        <v>24</v>
      </c>
      <c r="H2" s="3" t="s">
        <v>45</v>
      </c>
      <c r="I2" s="3">
        <v>1</v>
      </c>
      <c r="J2" s="3">
        <v>0</v>
      </c>
      <c r="K2" s="3">
        <v>0</v>
      </c>
      <c r="L2" s="3">
        <v>13</v>
      </c>
      <c r="M2" s="3" t="s">
        <v>36</v>
      </c>
      <c r="N2" s="3" t="s">
        <v>56</v>
      </c>
      <c r="O2" s="4">
        <v>45902</v>
      </c>
      <c r="P2" s="4">
        <v>45904</v>
      </c>
      <c r="Q2" s="3" t="s">
        <v>28</v>
      </c>
      <c r="R2" s="3" t="s">
        <v>24</v>
      </c>
      <c r="S2" s="4">
        <v>45917</v>
      </c>
    </row>
    <row r="3" spans="1:19" x14ac:dyDescent="0.2">
      <c r="A3" s="3">
        <v>7798</v>
      </c>
      <c r="B3" s="3" t="s">
        <v>63</v>
      </c>
      <c r="C3" s="3" t="s">
        <v>204</v>
      </c>
      <c r="D3" s="3" t="s">
        <v>276</v>
      </c>
      <c r="E3" s="3" t="s">
        <v>61</v>
      </c>
      <c r="F3" s="3" t="s">
        <v>44</v>
      </c>
      <c r="G3" s="3" t="s">
        <v>24</v>
      </c>
      <c r="H3" s="3" t="s">
        <v>66</v>
      </c>
      <c r="I3" s="3">
        <v>3</v>
      </c>
      <c r="J3" s="3">
        <v>0</v>
      </c>
      <c r="K3" s="3">
        <v>0</v>
      </c>
      <c r="L3" s="3">
        <v>26</v>
      </c>
      <c r="M3" s="3" t="s">
        <v>38</v>
      </c>
      <c r="N3" s="3" t="s">
        <v>472</v>
      </c>
      <c r="O3" s="4">
        <v>45902</v>
      </c>
      <c r="P3" s="4">
        <v>45905</v>
      </c>
      <c r="Q3" s="3" t="s">
        <v>28</v>
      </c>
      <c r="R3" s="3" t="s">
        <v>24</v>
      </c>
      <c r="S3" s="4">
        <v>45931</v>
      </c>
    </row>
    <row r="4" spans="1:19" x14ac:dyDescent="0.2">
      <c r="A4" s="3">
        <v>7799</v>
      </c>
      <c r="B4" s="3" t="s">
        <v>295</v>
      </c>
      <c r="C4" s="3" t="s">
        <v>112</v>
      </c>
      <c r="D4" s="3" t="s">
        <v>21</v>
      </c>
      <c r="E4" s="3" t="s">
        <v>22</v>
      </c>
      <c r="F4" s="3" t="s">
        <v>238</v>
      </c>
      <c r="G4" s="3" t="s">
        <v>24</v>
      </c>
      <c r="H4" s="3" t="s">
        <v>112</v>
      </c>
      <c r="I4" s="3">
        <v>1</v>
      </c>
      <c r="J4" s="3">
        <v>1</v>
      </c>
      <c r="K4" s="3">
        <v>1</v>
      </c>
      <c r="L4" s="3">
        <v>1</v>
      </c>
      <c r="M4" s="3" t="s">
        <v>38</v>
      </c>
      <c r="N4" s="3" t="s">
        <v>473</v>
      </c>
      <c r="O4" s="4">
        <v>45903</v>
      </c>
      <c r="P4" s="4">
        <v>45903</v>
      </c>
      <c r="Q4" s="3" t="s">
        <v>34</v>
      </c>
      <c r="R4" s="3" t="s">
        <v>24</v>
      </c>
      <c r="S4" s="4">
        <v>45904</v>
      </c>
    </row>
    <row r="5" spans="1:19" x14ac:dyDescent="0.2">
      <c r="A5" s="3">
        <v>7800</v>
      </c>
      <c r="B5" s="3" t="s">
        <v>295</v>
      </c>
      <c r="C5" s="3" t="s">
        <v>112</v>
      </c>
      <c r="D5" s="3" t="s">
        <v>106</v>
      </c>
      <c r="E5" s="3" t="s">
        <v>22</v>
      </c>
      <c r="F5" s="3" t="s">
        <v>238</v>
      </c>
      <c r="G5" s="3" t="s">
        <v>24</v>
      </c>
      <c r="H5" s="3" t="s">
        <v>112</v>
      </c>
      <c r="I5" s="3">
        <v>1</v>
      </c>
      <c r="J5" s="3">
        <v>1</v>
      </c>
      <c r="K5" s="3">
        <v>1</v>
      </c>
      <c r="L5" s="3">
        <v>1</v>
      </c>
      <c r="M5" s="3" t="s">
        <v>26</v>
      </c>
      <c r="N5" s="3" t="s">
        <v>285</v>
      </c>
      <c r="O5" s="4">
        <v>45903</v>
      </c>
      <c r="P5" s="4">
        <v>45903</v>
      </c>
      <c r="Q5" s="3" t="s">
        <v>34</v>
      </c>
      <c r="R5" s="3" t="s">
        <v>24</v>
      </c>
      <c r="S5" s="4">
        <v>45904</v>
      </c>
    </row>
    <row r="6" spans="1:19" x14ac:dyDescent="0.2">
      <c r="A6" s="3">
        <v>7801</v>
      </c>
      <c r="B6" s="3" t="s">
        <v>295</v>
      </c>
      <c r="C6" s="3" t="s">
        <v>112</v>
      </c>
      <c r="D6" s="3" t="s">
        <v>123</v>
      </c>
      <c r="E6" s="3" t="s">
        <v>22</v>
      </c>
      <c r="F6" s="3" t="s">
        <v>70</v>
      </c>
      <c r="G6" s="3" t="s">
        <v>24</v>
      </c>
      <c r="H6" s="3" t="s">
        <v>112</v>
      </c>
      <c r="I6" s="3">
        <v>1</v>
      </c>
      <c r="J6" s="3">
        <v>1</v>
      </c>
      <c r="K6" s="3">
        <v>1</v>
      </c>
      <c r="L6" s="3">
        <v>1</v>
      </c>
      <c r="M6" s="3" t="s">
        <v>36</v>
      </c>
      <c r="N6" s="3" t="s">
        <v>285</v>
      </c>
      <c r="O6" s="4">
        <v>45903</v>
      </c>
      <c r="P6" s="4">
        <v>45903</v>
      </c>
      <c r="Q6" s="3" t="s">
        <v>34</v>
      </c>
      <c r="R6" s="3" t="s">
        <v>24</v>
      </c>
      <c r="S6" s="4">
        <v>45904</v>
      </c>
    </row>
    <row r="7" spans="1:19" x14ac:dyDescent="0.2">
      <c r="A7" s="3">
        <v>7802</v>
      </c>
      <c r="B7" s="3" t="s">
        <v>295</v>
      </c>
      <c r="C7" s="3" t="s">
        <v>112</v>
      </c>
      <c r="D7" s="3" t="s">
        <v>54</v>
      </c>
      <c r="E7" s="3" t="s">
        <v>22</v>
      </c>
      <c r="F7" s="3" t="s">
        <v>107</v>
      </c>
      <c r="G7" s="3" t="s">
        <v>24</v>
      </c>
      <c r="H7" s="3" t="s">
        <v>112</v>
      </c>
      <c r="I7" s="3">
        <v>1</v>
      </c>
      <c r="J7" s="3">
        <v>1</v>
      </c>
      <c r="K7" s="3">
        <v>1</v>
      </c>
      <c r="L7" s="3">
        <v>1</v>
      </c>
      <c r="M7" s="3" t="s">
        <v>36</v>
      </c>
      <c r="N7" s="3" t="s">
        <v>109</v>
      </c>
      <c r="O7" s="4">
        <v>45903</v>
      </c>
      <c r="P7" s="4">
        <v>45903</v>
      </c>
      <c r="Q7" s="3" t="s">
        <v>34</v>
      </c>
      <c r="R7" s="3" t="s">
        <v>24</v>
      </c>
      <c r="S7" s="4">
        <v>45904</v>
      </c>
    </row>
    <row r="8" spans="1:19" x14ac:dyDescent="0.2">
      <c r="A8" s="3">
        <v>7803</v>
      </c>
      <c r="B8" s="3" t="s">
        <v>295</v>
      </c>
      <c r="C8" s="3" t="s">
        <v>112</v>
      </c>
      <c r="D8" s="3" t="s">
        <v>31</v>
      </c>
      <c r="E8" s="3" t="s">
        <v>22</v>
      </c>
      <c r="F8" s="3" t="s">
        <v>70</v>
      </c>
      <c r="G8" s="3" t="s">
        <v>24</v>
      </c>
      <c r="H8" s="3" t="s">
        <v>112</v>
      </c>
      <c r="I8" s="3">
        <v>1</v>
      </c>
      <c r="J8" s="3">
        <v>1</v>
      </c>
      <c r="K8" s="3">
        <v>1</v>
      </c>
      <c r="L8" s="3">
        <v>1</v>
      </c>
      <c r="M8" s="3" t="s">
        <v>36</v>
      </c>
      <c r="N8" s="3" t="s">
        <v>285</v>
      </c>
      <c r="O8" s="4">
        <v>45903</v>
      </c>
      <c r="P8" s="4">
        <v>45903</v>
      </c>
      <c r="Q8" s="3" t="s">
        <v>34</v>
      </c>
      <c r="R8" s="3" t="s">
        <v>24</v>
      </c>
      <c r="S8" s="4">
        <v>45904</v>
      </c>
    </row>
    <row r="9" spans="1:19" x14ac:dyDescent="0.2">
      <c r="A9" s="3">
        <v>7804</v>
      </c>
      <c r="B9" s="3" t="s">
        <v>295</v>
      </c>
      <c r="C9" s="3" t="s">
        <v>112</v>
      </c>
      <c r="D9" s="3" t="s">
        <v>183</v>
      </c>
      <c r="E9" s="3" t="s">
        <v>22</v>
      </c>
      <c r="F9" s="3" t="s">
        <v>238</v>
      </c>
      <c r="G9" s="3" t="s">
        <v>24</v>
      </c>
      <c r="H9" s="3" t="s">
        <v>112</v>
      </c>
      <c r="I9" s="3">
        <v>1</v>
      </c>
      <c r="J9" s="3">
        <v>1</v>
      </c>
      <c r="K9" s="3">
        <v>1</v>
      </c>
      <c r="L9" s="3">
        <v>1</v>
      </c>
      <c r="M9" s="3" t="s">
        <v>36</v>
      </c>
      <c r="N9" s="3" t="s">
        <v>297</v>
      </c>
      <c r="O9" s="4">
        <v>45903</v>
      </c>
      <c r="P9" s="4">
        <v>45903</v>
      </c>
      <c r="Q9" s="3" t="s">
        <v>34</v>
      </c>
      <c r="R9" s="3" t="s">
        <v>24</v>
      </c>
      <c r="S9" s="4">
        <v>45904</v>
      </c>
    </row>
    <row r="10" spans="1:19" x14ac:dyDescent="0.2">
      <c r="A10" s="3">
        <v>7805</v>
      </c>
      <c r="B10" s="3" t="s">
        <v>19</v>
      </c>
      <c r="C10" s="3" t="s">
        <v>474</v>
      </c>
      <c r="D10" s="3" t="s">
        <v>145</v>
      </c>
      <c r="E10" s="3" t="s">
        <v>22</v>
      </c>
      <c r="F10" s="3" t="s">
        <v>23</v>
      </c>
      <c r="G10" s="3" t="s">
        <v>24</v>
      </c>
      <c r="H10" s="3" t="s">
        <v>25</v>
      </c>
      <c r="I10" s="3">
        <v>1</v>
      </c>
      <c r="J10" s="3">
        <v>1</v>
      </c>
      <c r="K10" s="3">
        <v>1</v>
      </c>
      <c r="L10" s="3">
        <v>15</v>
      </c>
      <c r="M10" s="3" t="s">
        <v>36</v>
      </c>
      <c r="N10" s="3" t="s">
        <v>369</v>
      </c>
      <c r="O10" s="4">
        <v>45903</v>
      </c>
      <c r="P10" s="4">
        <v>45904</v>
      </c>
      <c r="Q10" s="3" t="s">
        <v>34</v>
      </c>
      <c r="R10" s="3" t="s">
        <v>47</v>
      </c>
      <c r="S10" s="4">
        <v>45919</v>
      </c>
    </row>
    <row r="11" spans="1:19" x14ac:dyDescent="0.2">
      <c r="A11" s="3">
        <v>7806</v>
      </c>
      <c r="B11" s="3" t="s">
        <v>151</v>
      </c>
      <c r="C11" s="3" t="s">
        <v>366</v>
      </c>
      <c r="D11" s="3" t="s">
        <v>145</v>
      </c>
      <c r="E11" s="3" t="s">
        <v>161</v>
      </c>
      <c r="F11" s="3" t="s">
        <v>44</v>
      </c>
      <c r="G11" s="3" t="s">
        <v>24</v>
      </c>
      <c r="H11" s="3" t="s">
        <v>66</v>
      </c>
      <c r="I11" s="3">
        <v>2</v>
      </c>
      <c r="J11" s="3">
        <v>0</v>
      </c>
      <c r="K11" s="3">
        <v>0</v>
      </c>
      <c r="L11" s="3">
        <v>42</v>
      </c>
      <c r="M11" s="3" t="s">
        <v>36</v>
      </c>
      <c r="N11" s="3" t="s">
        <v>287</v>
      </c>
      <c r="O11" s="4">
        <v>45903</v>
      </c>
      <c r="P11" s="4">
        <v>45905</v>
      </c>
      <c r="Q11" s="3" t="s">
        <v>28</v>
      </c>
      <c r="R11" s="3" t="s">
        <v>24</v>
      </c>
      <c r="S11" s="4">
        <v>45947</v>
      </c>
    </row>
    <row r="12" spans="1:19" x14ac:dyDescent="0.2">
      <c r="A12" s="3">
        <v>7807</v>
      </c>
      <c r="B12" s="3" t="s">
        <v>151</v>
      </c>
      <c r="C12" s="3" t="s">
        <v>475</v>
      </c>
      <c r="D12" s="3" t="s">
        <v>74</v>
      </c>
      <c r="E12" s="3" t="s">
        <v>22</v>
      </c>
      <c r="F12" s="3" t="s">
        <v>44</v>
      </c>
      <c r="G12" s="3" t="s">
        <v>24</v>
      </c>
      <c r="H12" s="3" t="s">
        <v>66</v>
      </c>
      <c r="I12" s="3">
        <v>1</v>
      </c>
      <c r="J12" s="3">
        <v>1</v>
      </c>
      <c r="K12" s="3">
        <v>1</v>
      </c>
      <c r="L12" s="3">
        <v>11</v>
      </c>
      <c r="M12" s="3" t="s">
        <v>60</v>
      </c>
      <c r="N12" s="3" t="s">
        <v>138</v>
      </c>
      <c r="O12" s="4">
        <v>45903</v>
      </c>
      <c r="P12" s="4">
        <v>45911</v>
      </c>
      <c r="Q12" s="3" t="s">
        <v>28</v>
      </c>
      <c r="R12" s="3" t="s">
        <v>24</v>
      </c>
      <c r="S12" s="4">
        <v>45922</v>
      </c>
    </row>
    <row r="13" spans="1:19" x14ac:dyDescent="0.2">
      <c r="A13" s="3">
        <v>7808</v>
      </c>
      <c r="B13" s="3" t="s">
        <v>355</v>
      </c>
      <c r="C13" s="3" t="s">
        <v>465</v>
      </c>
      <c r="D13" s="3" t="s">
        <v>205</v>
      </c>
      <c r="E13" s="3" t="s">
        <v>22</v>
      </c>
      <c r="F13" s="3" t="s">
        <v>349</v>
      </c>
      <c r="G13" s="3" t="s">
        <v>24</v>
      </c>
      <c r="H13" s="3" t="s">
        <v>25</v>
      </c>
      <c r="I13" s="3">
        <v>1</v>
      </c>
      <c r="J13" s="3">
        <v>1</v>
      </c>
      <c r="K13" s="3">
        <v>1</v>
      </c>
      <c r="L13" s="3">
        <v>5</v>
      </c>
      <c r="M13" s="3" t="s">
        <v>38</v>
      </c>
      <c r="N13" s="3" t="s">
        <v>320</v>
      </c>
      <c r="O13" s="4">
        <v>45903</v>
      </c>
      <c r="P13" s="4">
        <v>45924</v>
      </c>
      <c r="Q13" s="3" t="s">
        <v>28</v>
      </c>
      <c r="R13" s="3" t="s">
        <v>24</v>
      </c>
      <c r="S13" s="4">
        <v>45929</v>
      </c>
    </row>
    <row r="14" spans="1:19" x14ac:dyDescent="0.2">
      <c r="A14" s="3">
        <v>7809</v>
      </c>
      <c r="B14" s="3" t="s">
        <v>258</v>
      </c>
      <c r="C14" s="3" t="s">
        <v>259</v>
      </c>
      <c r="D14" s="3" t="s">
        <v>381</v>
      </c>
      <c r="E14" s="3" t="s">
        <v>22</v>
      </c>
      <c r="F14" s="3"/>
      <c r="G14" s="3" t="s">
        <v>24</v>
      </c>
      <c r="H14" s="3" t="s">
        <v>25</v>
      </c>
      <c r="I14" s="3">
        <v>1</v>
      </c>
      <c r="J14" s="3">
        <v>1</v>
      </c>
      <c r="K14" s="3">
        <v>1</v>
      </c>
      <c r="L14" s="3">
        <v>10</v>
      </c>
      <c r="M14" s="3" t="s">
        <v>38</v>
      </c>
      <c r="N14" s="3" t="s">
        <v>56</v>
      </c>
      <c r="O14" s="4">
        <v>45904</v>
      </c>
      <c r="P14" s="4">
        <v>45905</v>
      </c>
      <c r="Q14" s="3" t="s">
        <v>28</v>
      </c>
      <c r="R14" s="3" t="s">
        <v>24</v>
      </c>
      <c r="S14" s="4">
        <v>45915</v>
      </c>
    </row>
    <row r="15" spans="1:19" x14ac:dyDescent="0.2">
      <c r="A15" s="3">
        <v>7810</v>
      </c>
      <c r="B15" s="3" t="s">
        <v>208</v>
      </c>
      <c r="C15" s="3" t="s">
        <v>476</v>
      </c>
      <c r="D15" s="3" t="s">
        <v>145</v>
      </c>
      <c r="E15" s="3" t="s">
        <v>161</v>
      </c>
      <c r="F15" s="3"/>
      <c r="G15" s="3" t="s">
        <v>24</v>
      </c>
      <c r="H15" s="3" t="s">
        <v>211</v>
      </c>
      <c r="I15" s="3">
        <v>1</v>
      </c>
      <c r="J15" s="3">
        <v>0</v>
      </c>
      <c r="K15" s="3">
        <v>0</v>
      </c>
      <c r="L15" s="3">
        <v>5</v>
      </c>
      <c r="M15" s="3" t="s">
        <v>38</v>
      </c>
      <c r="N15" s="3" t="s">
        <v>255</v>
      </c>
      <c r="O15" s="4">
        <v>45904</v>
      </c>
      <c r="P15" s="4">
        <v>45905</v>
      </c>
      <c r="Q15" s="3" t="s">
        <v>28</v>
      </c>
      <c r="R15" s="3" t="s">
        <v>24</v>
      </c>
      <c r="S15" s="4">
        <v>45910</v>
      </c>
    </row>
    <row r="16" spans="1:19" x14ac:dyDescent="0.2">
      <c r="A16" s="3">
        <v>7811</v>
      </c>
      <c r="B16" s="3" t="s">
        <v>253</v>
      </c>
      <c r="C16" s="3" t="s">
        <v>254</v>
      </c>
      <c r="D16" s="3" t="s">
        <v>111</v>
      </c>
      <c r="E16" s="3" t="s">
        <v>161</v>
      </c>
      <c r="F16" s="3" t="s">
        <v>229</v>
      </c>
      <c r="G16" s="3" t="s">
        <v>24</v>
      </c>
      <c r="H16" s="3" t="s">
        <v>25</v>
      </c>
      <c r="I16" s="3">
        <v>5</v>
      </c>
      <c r="J16" s="3">
        <v>0</v>
      </c>
      <c r="K16" s="3">
        <v>0</v>
      </c>
      <c r="L16" s="3">
        <v>32</v>
      </c>
      <c r="M16" s="3" t="s">
        <v>162</v>
      </c>
      <c r="N16" s="3" t="s">
        <v>477</v>
      </c>
      <c r="O16" s="4">
        <v>45904</v>
      </c>
      <c r="P16" s="4">
        <v>45904</v>
      </c>
      <c r="Q16" s="3" t="s">
        <v>28</v>
      </c>
      <c r="R16" s="3" t="s">
        <v>24</v>
      </c>
      <c r="S16" s="4">
        <v>45936</v>
      </c>
    </row>
    <row r="17" spans="1:19" x14ac:dyDescent="0.2">
      <c r="A17" s="3">
        <v>7812</v>
      </c>
      <c r="B17" s="3" t="s">
        <v>92</v>
      </c>
      <c r="C17" s="3" t="s">
        <v>478</v>
      </c>
      <c r="D17" s="3" t="s">
        <v>94</v>
      </c>
      <c r="E17" s="3" t="s">
        <v>61</v>
      </c>
      <c r="F17" s="3"/>
      <c r="G17" s="3" t="s">
        <v>24</v>
      </c>
      <c r="H17" s="3" t="s">
        <v>95</v>
      </c>
      <c r="I17" s="3">
        <v>1</v>
      </c>
      <c r="J17" s="3">
        <v>0</v>
      </c>
      <c r="K17" s="3">
        <v>0</v>
      </c>
      <c r="L17" s="3">
        <v>35</v>
      </c>
      <c r="M17" s="3" t="s">
        <v>36</v>
      </c>
      <c r="N17" s="3" t="s">
        <v>252</v>
      </c>
      <c r="O17" s="4">
        <v>45904</v>
      </c>
      <c r="P17" s="4">
        <v>45910</v>
      </c>
      <c r="Q17" s="3" t="s">
        <v>28</v>
      </c>
      <c r="R17" s="3" t="s">
        <v>47</v>
      </c>
      <c r="S17" s="4">
        <v>45945</v>
      </c>
    </row>
    <row r="18" spans="1:19" x14ac:dyDescent="0.2">
      <c r="A18" s="3">
        <v>7813</v>
      </c>
      <c r="B18" s="3" t="s">
        <v>479</v>
      </c>
      <c r="C18" s="3" t="s">
        <v>480</v>
      </c>
      <c r="D18" s="3" t="s">
        <v>35</v>
      </c>
      <c r="E18" s="3" t="s">
        <v>161</v>
      </c>
      <c r="F18" s="3" t="s">
        <v>44</v>
      </c>
      <c r="G18" s="3" t="s">
        <v>24</v>
      </c>
      <c r="H18" s="3" t="s">
        <v>90</v>
      </c>
      <c r="I18" s="3">
        <v>1</v>
      </c>
      <c r="J18" s="3">
        <v>0</v>
      </c>
      <c r="K18" s="3">
        <v>0</v>
      </c>
      <c r="L18" s="3">
        <v>16</v>
      </c>
      <c r="M18" s="3" t="s">
        <v>78</v>
      </c>
      <c r="N18" s="3" t="s">
        <v>56</v>
      </c>
      <c r="O18" s="4">
        <v>45904</v>
      </c>
      <c r="P18" s="4">
        <v>45908</v>
      </c>
      <c r="Q18" s="3" t="s">
        <v>28</v>
      </c>
      <c r="R18" s="3" t="s">
        <v>24</v>
      </c>
      <c r="S18" s="4">
        <v>45924</v>
      </c>
    </row>
    <row r="19" spans="1:19" x14ac:dyDescent="0.2">
      <c r="A19" s="3">
        <v>7814</v>
      </c>
      <c r="B19" s="3" t="s">
        <v>258</v>
      </c>
      <c r="C19" s="3" t="s">
        <v>453</v>
      </c>
      <c r="D19" s="3" t="s">
        <v>260</v>
      </c>
      <c r="E19" s="3" t="s">
        <v>22</v>
      </c>
      <c r="F19" s="3" t="s">
        <v>229</v>
      </c>
      <c r="G19" s="3" t="s">
        <v>24</v>
      </c>
      <c r="H19" s="3" t="s">
        <v>25</v>
      </c>
      <c r="I19" s="3">
        <v>1</v>
      </c>
      <c r="J19" s="3">
        <v>1</v>
      </c>
      <c r="K19" s="3">
        <v>1</v>
      </c>
      <c r="L19" s="3">
        <v>9</v>
      </c>
      <c r="M19" s="3" t="s">
        <v>38</v>
      </c>
      <c r="N19" s="3" t="s">
        <v>207</v>
      </c>
      <c r="O19" s="4">
        <v>45905</v>
      </c>
      <c r="P19" s="4">
        <v>45917</v>
      </c>
      <c r="Q19" s="3" t="s">
        <v>28</v>
      </c>
      <c r="R19" s="3" t="s">
        <v>24</v>
      </c>
      <c r="S19" s="4">
        <v>45926</v>
      </c>
    </row>
    <row r="20" spans="1:19" x14ac:dyDescent="0.2">
      <c r="A20" s="3">
        <v>7815</v>
      </c>
      <c r="B20" s="3" t="s">
        <v>63</v>
      </c>
      <c r="C20" s="3" t="s">
        <v>204</v>
      </c>
      <c r="D20" s="3" t="s">
        <v>94</v>
      </c>
      <c r="E20" s="3" t="s">
        <v>22</v>
      </c>
      <c r="F20" s="3" t="s">
        <v>44</v>
      </c>
      <c r="G20" s="3" t="s">
        <v>24</v>
      </c>
      <c r="H20" s="3" t="s">
        <v>66</v>
      </c>
      <c r="I20" s="3">
        <v>3</v>
      </c>
      <c r="J20" s="3">
        <v>1</v>
      </c>
      <c r="K20" s="3">
        <v>1</v>
      </c>
      <c r="L20" s="3">
        <v>6</v>
      </c>
      <c r="M20" s="3" t="s">
        <v>36</v>
      </c>
      <c r="N20" s="3" t="s">
        <v>255</v>
      </c>
      <c r="O20" s="4">
        <v>45905</v>
      </c>
      <c r="P20" s="4">
        <v>45953</v>
      </c>
      <c r="Q20" s="3" t="s">
        <v>28</v>
      </c>
      <c r="R20" s="3" t="s">
        <v>24</v>
      </c>
      <c r="S20" s="4">
        <v>45959</v>
      </c>
    </row>
    <row r="21" spans="1:19" x14ac:dyDescent="0.2">
      <c r="A21" s="3">
        <v>7816</v>
      </c>
      <c r="B21" s="3" t="s">
        <v>408</v>
      </c>
      <c r="C21" s="3" t="s">
        <v>409</v>
      </c>
      <c r="D21" s="3" t="s">
        <v>123</v>
      </c>
      <c r="E21" s="3" t="s">
        <v>22</v>
      </c>
      <c r="F21" s="3" t="s">
        <v>44</v>
      </c>
      <c r="G21" s="3" t="s">
        <v>24</v>
      </c>
      <c r="H21" s="3" t="s">
        <v>132</v>
      </c>
      <c r="I21" s="3">
        <v>1</v>
      </c>
      <c r="J21" s="3">
        <v>1</v>
      </c>
      <c r="K21" s="3">
        <v>1</v>
      </c>
      <c r="L21" s="3">
        <v>9</v>
      </c>
      <c r="M21" s="3" t="s">
        <v>60</v>
      </c>
      <c r="N21" s="3" t="s">
        <v>389</v>
      </c>
      <c r="O21" s="4">
        <v>45905</v>
      </c>
      <c r="P21" s="4">
        <v>45908</v>
      </c>
      <c r="Q21" s="3" t="s">
        <v>34</v>
      </c>
      <c r="R21" s="3" t="s">
        <v>24</v>
      </c>
      <c r="S21" s="4">
        <v>45917</v>
      </c>
    </row>
    <row r="22" spans="1:19" x14ac:dyDescent="0.2">
      <c r="A22" s="3">
        <v>7817</v>
      </c>
      <c r="B22" s="3" t="s">
        <v>323</v>
      </c>
      <c r="C22" s="3" t="s">
        <v>324</v>
      </c>
      <c r="D22" s="3" t="s">
        <v>98</v>
      </c>
      <c r="E22" s="3" t="s">
        <v>161</v>
      </c>
      <c r="F22" s="3"/>
      <c r="G22" s="3" t="s">
        <v>24</v>
      </c>
      <c r="H22" s="3" t="s">
        <v>45</v>
      </c>
      <c r="I22" s="3">
        <v>5</v>
      </c>
      <c r="J22" s="3">
        <v>0</v>
      </c>
      <c r="K22" s="3">
        <v>0</v>
      </c>
      <c r="L22" s="3">
        <v>56</v>
      </c>
      <c r="M22" s="3" t="s">
        <v>100</v>
      </c>
      <c r="N22" s="3" t="s">
        <v>397</v>
      </c>
      <c r="O22" s="4">
        <v>45907</v>
      </c>
      <c r="P22" s="4">
        <v>45912</v>
      </c>
      <c r="Q22" s="3" t="s">
        <v>28</v>
      </c>
      <c r="R22" s="3" t="s">
        <v>24</v>
      </c>
      <c r="S22" s="4">
        <v>45968</v>
      </c>
    </row>
    <row r="23" spans="1:19" x14ac:dyDescent="0.2">
      <c r="A23" s="3">
        <v>7820</v>
      </c>
      <c r="B23" s="3" t="s">
        <v>76</v>
      </c>
      <c r="C23" s="3" t="s">
        <v>77</v>
      </c>
      <c r="D23" s="3" t="s">
        <v>205</v>
      </c>
      <c r="E23" s="3" t="s">
        <v>61</v>
      </c>
      <c r="F23" s="3" t="s">
        <v>44</v>
      </c>
      <c r="G23" s="3" t="s">
        <v>24</v>
      </c>
      <c r="H23" s="3" t="s">
        <v>66</v>
      </c>
      <c r="I23" s="3">
        <v>3</v>
      </c>
      <c r="J23" s="3">
        <v>0</v>
      </c>
      <c r="K23" s="3">
        <v>0</v>
      </c>
      <c r="L23" s="3">
        <v>36</v>
      </c>
      <c r="M23" s="3" t="s">
        <v>36</v>
      </c>
      <c r="N23" s="3" t="s">
        <v>287</v>
      </c>
      <c r="O23" s="4">
        <v>45908</v>
      </c>
      <c r="P23" s="4">
        <v>45911</v>
      </c>
      <c r="Q23" s="3" t="s">
        <v>28</v>
      </c>
      <c r="R23" s="3" t="s">
        <v>24</v>
      </c>
      <c r="S23" s="4">
        <v>45947</v>
      </c>
    </row>
    <row r="24" spans="1:19" x14ac:dyDescent="0.2">
      <c r="A24" s="3">
        <v>7822</v>
      </c>
      <c r="B24" s="3" t="s">
        <v>63</v>
      </c>
      <c r="C24" s="3" t="s">
        <v>204</v>
      </c>
      <c r="D24" s="3" t="s">
        <v>65</v>
      </c>
      <c r="E24" s="3" t="s">
        <v>171</v>
      </c>
      <c r="F24" s="3" t="s">
        <v>44</v>
      </c>
      <c r="G24" s="3" t="s">
        <v>24</v>
      </c>
      <c r="H24" s="3" t="s">
        <v>66</v>
      </c>
      <c r="I24" s="3">
        <v>2</v>
      </c>
      <c r="J24" s="3">
        <v>0</v>
      </c>
      <c r="K24" s="3">
        <v>0</v>
      </c>
      <c r="L24" s="3">
        <v>13</v>
      </c>
      <c r="M24" s="3" t="s">
        <v>36</v>
      </c>
      <c r="N24" s="3" t="s">
        <v>481</v>
      </c>
      <c r="O24" s="4">
        <v>45909</v>
      </c>
      <c r="P24" s="4">
        <v>45910</v>
      </c>
      <c r="Q24" s="3" t="s">
        <v>28</v>
      </c>
      <c r="R24" s="3" t="s">
        <v>24</v>
      </c>
      <c r="S24" s="4">
        <v>45923</v>
      </c>
    </row>
    <row r="25" spans="1:19" x14ac:dyDescent="0.2">
      <c r="A25" s="3">
        <v>7823</v>
      </c>
      <c r="B25" s="3" t="s">
        <v>19</v>
      </c>
      <c r="C25" s="3" t="s">
        <v>293</v>
      </c>
      <c r="D25" s="3" t="s">
        <v>31</v>
      </c>
      <c r="E25" s="3" t="s">
        <v>22</v>
      </c>
      <c r="F25" s="3" t="s">
        <v>459</v>
      </c>
      <c r="G25" s="3" t="s">
        <v>24</v>
      </c>
      <c r="H25" s="3" t="s">
        <v>25</v>
      </c>
      <c r="I25" s="3">
        <v>2</v>
      </c>
      <c r="J25" s="3">
        <v>1</v>
      </c>
      <c r="K25" s="3">
        <v>1</v>
      </c>
      <c r="L25" s="3">
        <v>3</v>
      </c>
      <c r="M25" s="3" t="s">
        <v>482</v>
      </c>
      <c r="N25" s="3" t="s">
        <v>56</v>
      </c>
      <c r="O25" s="4">
        <v>45910</v>
      </c>
      <c r="P25" s="4">
        <v>45944</v>
      </c>
      <c r="Q25" s="3" t="s">
        <v>28</v>
      </c>
      <c r="R25" s="3" t="s">
        <v>24</v>
      </c>
      <c r="S25" s="4">
        <v>45947</v>
      </c>
    </row>
    <row r="26" spans="1:19" x14ac:dyDescent="0.2">
      <c r="A26" s="3">
        <v>7826</v>
      </c>
      <c r="B26" s="3" t="s">
        <v>19</v>
      </c>
      <c r="C26" s="3" t="s">
        <v>290</v>
      </c>
      <c r="D26" s="3" t="s">
        <v>31</v>
      </c>
      <c r="E26" s="3" t="s">
        <v>22</v>
      </c>
      <c r="F26" s="3" t="s">
        <v>23</v>
      </c>
      <c r="G26" s="3" t="s">
        <v>24</v>
      </c>
      <c r="H26" s="3" t="s">
        <v>25</v>
      </c>
      <c r="I26" s="3">
        <v>1</v>
      </c>
      <c r="J26" s="3">
        <v>1</v>
      </c>
      <c r="K26" s="3">
        <v>1</v>
      </c>
      <c r="L26" s="3">
        <v>9</v>
      </c>
      <c r="M26" s="3" t="s">
        <v>38</v>
      </c>
      <c r="N26" s="3" t="s">
        <v>291</v>
      </c>
      <c r="O26" s="4">
        <v>45910</v>
      </c>
      <c r="P26" s="4">
        <v>45930</v>
      </c>
      <c r="Q26" s="3" t="s">
        <v>28</v>
      </c>
      <c r="R26" s="3" t="s">
        <v>24</v>
      </c>
      <c r="S26" s="4">
        <v>45939</v>
      </c>
    </row>
    <row r="27" spans="1:19" x14ac:dyDescent="0.2">
      <c r="A27" s="3">
        <v>7827</v>
      </c>
      <c r="B27" s="3" t="s">
        <v>19</v>
      </c>
      <c r="C27" s="3" t="s">
        <v>290</v>
      </c>
      <c r="D27" s="3" t="s">
        <v>31</v>
      </c>
      <c r="E27" s="3" t="s">
        <v>22</v>
      </c>
      <c r="F27" s="3" t="s">
        <v>459</v>
      </c>
      <c r="G27" s="3" t="s">
        <v>24</v>
      </c>
      <c r="H27" s="3" t="s">
        <v>25</v>
      </c>
      <c r="I27" s="3">
        <v>6</v>
      </c>
      <c r="J27" s="3">
        <v>1</v>
      </c>
      <c r="K27" s="3">
        <v>1</v>
      </c>
      <c r="L27" s="3">
        <v>13</v>
      </c>
      <c r="M27" s="3" t="s">
        <v>36</v>
      </c>
      <c r="N27" s="3" t="s">
        <v>56</v>
      </c>
      <c r="O27" s="4">
        <v>45910</v>
      </c>
      <c r="P27" s="4">
        <v>45946</v>
      </c>
      <c r="Q27" s="3" t="s">
        <v>28</v>
      </c>
      <c r="R27" s="3" t="s">
        <v>24</v>
      </c>
      <c r="S27" s="4">
        <v>45959</v>
      </c>
    </row>
    <row r="28" spans="1:19" x14ac:dyDescent="0.2">
      <c r="A28" s="3">
        <v>7828</v>
      </c>
      <c r="B28" s="3" t="s">
        <v>63</v>
      </c>
      <c r="C28" s="3" t="s">
        <v>166</v>
      </c>
      <c r="D28" s="3" t="s">
        <v>123</v>
      </c>
      <c r="E28" s="3" t="s">
        <v>22</v>
      </c>
      <c r="F28" s="3" t="s">
        <v>44</v>
      </c>
      <c r="G28" s="3" t="s">
        <v>24</v>
      </c>
      <c r="H28" s="3" t="s">
        <v>66</v>
      </c>
      <c r="I28" s="3">
        <v>2</v>
      </c>
      <c r="J28" s="3">
        <v>1</v>
      </c>
      <c r="K28" s="3">
        <v>1</v>
      </c>
      <c r="L28" s="3">
        <v>11</v>
      </c>
      <c r="M28" s="3" t="s">
        <v>60</v>
      </c>
      <c r="N28" s="3" t="s">
        <v>483</v>
      </c>
      <c r="O28" s="4">
        <v>45910</v>
      </c>
      <c r="P28" s="4">
        <v>45932</v>
      </c>
      <c r="Q28" s="3" t="s">
        <v>28</v>
      </c>
      <c r="R28" s="3" t="s">
        <v>24</v>
      </c>
      <c r="S28" s="4">
        <v>45943</v>
      </c>
    </row>
    <row r="29" spans="1:19" x14ac:dyDescent="0.2">
      <c r="A29" s="3">
        <v>7829</v>
      </c>
      <c r="B29" s="3" t="s">
        <v>338</v>
      </c>
      <c r="C29" s="3" t="s">
        <v>339</v>
      </c>
      <c r="D29" s="3" t="s">
        <v>180</v>
      </c>
      <c r="E29" s="3" t="s">
        <v>22</v>
      </c>
      <c r="F29" s="3" t="s">
        <v>107</v>
      </c>
      <c r="G29" s="3" t="s">
        <v>24</v>
      </c>
      <c r="H29" s="3" t="s">
        <v>32</v>
      </c>
      <c r="I29" s="3">
        <v>1</v>
      </c>
      <c r="J29" s="3">
        <v>1</v>
      </c>
      <c r="K29" s="3">
        <v>1</v>
      </c>
      <c r="L29" s="3">
        <v>1</v>
      </c>
      <c r="M29" s="3" t="s">
        <v>108</v>
      </c>
      <c r="N29" s="3" t="s">
        <v>109</v>
      </c>
      <c r="O29" s="4">
        <v>45910</v>
      </c>
      <c r="P29" s="4">
        <v>45910</v>
      </c>
      <c r="Q29" s="3" t="s">
        <v>34</v>
      </c>
      <c r="R29" s="3" t="s">
        <v>24</v>
      </c>
      <c r="S29" s="4">
        <v>45911</v>
      </c>
    </row>
    <row r="30" spans="1:19" x14ac:dyDescent="0.2">
      <c r="A30" s="3">
        <v>7830</v>
      </c>
      <c r="B30" s="3" t="s">
        <v>338</v>
      </c>
      <c r="C30" s="3" t="s">
        <v>339</v>
      </c>
      <c r="D30" s="3" t="s">
        <v>484</v>
      </c>
      <c r="E30" s="3" t="s">
        <v>22</v>
      </c>
      <c r="F30" s="3" t="s">
        <v>177</v>
      </c>
      <c r="G30" s="3" t="s">
        <v>24</v>
      </c>
      <c r="H30" s="3" t="s">
        <v>32</v>
      </c>
      <c r="I30" s="3">
        <v>1</v>
      </c>
      <c r="J30" s="3">
        <v>1</v>
      </c>
      <c r="K30" s="3">
        <v>1</v>
      </c>
      <c r="L30" s="3">
        <v>1</v>
      </c>
      <c r="M30" s="3" t="s">
        <v>108</v>
      </c>
      <c r="N30" s="3" t="s">
        <v>485</v>
      </c>
      <c r="O30" s="4">
        <v>45910</v>
      </c>
      <c r="P30" s="4">
        <v>45910</v>
      </c>
      <c r="Q30" s="3" t="s">
        <v>34</v>
      </c>
      <c r="R30" s="3" t="s">
        <v>24</v>
      </c>
      <c r="S30" s="4">
        <v>45911</v>
      </c>
    </row>
    <row r="31" spans="1:19" x14ac:dyDescent="0.2">
      <c r="A31" s="3">
        <v>7831</v>
      </c>
      <c r="B31" s="3" t="s">
        <v>338</v>
      </c>
      <c r="C31" s="3" t="s">
        <v>339</v>
      </c>
      <c r="D31" s="3" t="s">
        <v>54</v>
      </c>
      <c r="E31" s="3" t="s">
        <v>22</v>
      </c>
      <c r="F31" s="3" t="s">
        <v>107</v>
      </c>
      <c r="G31" s="3" t="s">
        <v>24</v>
      </c>
      <c r="H31" s="3" t="s">
        <v>32</v>
      </c>
      <c r="I31" s="3">
        <v>1</v>
      </c>
      <c r="J31" s="3">
        <v>1</v>
      </c>
      <c r="K31" s="3">
        <v>1</v>
      </c>
      <c r="L31" s="3">
        <v>1</v>
      </c>
      <c r="M31" s="3" t="s">
        <v>36</v>
      </c>
      <c r="N31" s="3" t="s">
        <v>109</v>
      </c>
      <c r="O31" s="4">
        <v>45910</v>
      </c>
      <c r="P31" s="4">
        <v>45910</v>
      </c>
      <c r="Q31" s="3" t="s">
        <v>34</v>
      </c>
      <c r="R31" s="3" t="s">
        <v>24</v>
      </c>
      <c r="S31" s="4">
        <v>45911</v>
      </c>
    </row>
    <row r="32" spans="1:19" x14ac:dyDescent="0.2">
      <c r="A32" s="3">
        <v>7832</v>
      </c>
      <c r="B32" s="3" t="s">
        <v>338</v>
      </c>
      <c r="C32" s="3" t="s">
        <v>339</v>
      </c>
      <c r="D32" s="3" t="s">
        <v>111</v>
      </c>
      <c r="E32" s="3" t="s">
        <v>22</v>
      </c>
      <c r="F32" s="3" t="s">
        <v>313</v>
      </c>
      <c r="G32" s="3" t="s">
        <v>24</v>
      </c>
      <c r="H32" s="3" t="s">
        <v>32</v>
      </c>
      <c r="I32" s="3">
        <v>1</v>
      </c>
      <c r="J32" s="3">
        <v>1</v>
      </c>
      <c r="K32" s="3">
        <v>1</v>
      </c>
      <c r="L32" s="3">
        <v>15</v>
      </c>
      <c r="M32" s="3" t="s">
        <v>36</v>
      </c>
      <c r="N32" s="3" t="s">
        <v>109</v>
      </c>
      <c r="O32" s="4">
        <v>45910</v>
      </c>
      <c r="P32" s="4">
        <v>45910</v>
      </c>
      <c r="Q32" s="3" t="s">
        <v>34</v>
      </c>
      <c r="R32" s="3" t="s">
        <v>24</v>
      </c>
      <c r="S32" s="4">
        <v>45925</v>
      </c>
    </row>
    <row r="33" spans="1:19" x14ac:dyDescent="0.2">
      <c r="A33" s="3">
        <v>7834</v>
      </c>
      <c r="B33" s="3" t="s">
        <v>338</v>
      </c>
      <c r="C33" s="3" t="s">
        <v>339</v>
      </c>
      <c r="D33" s="3" t="s">
        <v>35</v>
      </c>
      <c r="E33" s="3" t="s">
        <v>22</v>
      </c>
      <c r="F33" s="3" t="s">
        <v>418</v>
      </c>
      <c r="G33" s="3" t="s">
        <v>24</v>
      </c>
      <c r="H33" s="3" t="s">
        <v>32</v>
      </c>
      <c r="I33" s="3">
        <v>1</v>
      </c>
      <c r="J33" s="3">
        <v>1</v>
      </c>
      <c r="K33" s="3">
        <v>1</v>
      </c>
      <c r="L33" s="3">
        <v>5</v>
      </c>
      <c r="M33" s="3" t="s">
        <v>36</v>
      </c>
      <c r="N33" s="3" t="s">
        <v>285</v>
      </c>
      <c r="O33" s="4">
        <v>45910</v>
      </c>
      <c r="P33" s="4">
        <v>45910</v>
      </c>
      <c r="Q33" s="3" t="s">
        <v>34</v>
      </c>
      <c r="R33" s="3" t="s">
        <v>24</v>
      </c>
      <c r="S33" s="4">
        <v>45915</v>
      </c>
    </row>
    <row r="34" spans="1:19" x14ac:dyDescent="0.2">
      <c r="A34" s="3">
        <v>7835</v>
      </c>
      <c r="B34" s="3" t="s">
        <v>261</v>
      </c>
      <c r="C34" s="3" t="s">
        <v>330</v>
      </c>
      <c r="D34" s="3" t="s">
        <v>35</v>
      </c>
      <c r="E34" s="3" t="s">
        <v>161</v>
      </c>
      <c r="F34" s="3" t="s">
        <v>349</v>
      </c>
      <c r="G34" s="3" t="s">
        <v>24</v>
      </c>
      <c r="H34" s="3" t="s">
        <v>25</v>
      </c>
      <c r="I34" s="3">
        <v>1</v>
      </c>
      <c r="J34" s="3">
        <v>0</v>
      </c>
      <c r="K34" s="3">
        <v>0</v>
      </c>
      <c r="L34" s="3">
        <v>11</v>
      </c>
      <c r="M34" s="3" t="s">
        <v>36</v>
      </c>
      <c r="N34" s="3"/>
      <c r="O34" s="4">
        <v>45912</v>
      </c>
      <c r="P34" s="4">
        <v>45915</v>
      </c>
      <c r="Q34" s="3" t="s">
        <v>28</v>
      </c>
      <c r="R34" s="3" t="s">
        <v>24</v>
      </c>
      <c r="S34" s="4">
        <v>45926</v>
      </c>
    </row>
    <row r="35" spans="1:19" x14ac:dyDescent="0.2">
      <c r="A35" s="3">
        <v>7836</v>
      </c>
      <c r="B35" s="3" t="s">
        <v>139</v>
      </c>
      <c r="C35" s="3" t="s">
        <v>486</v>
      </c>
      <c r="D35" s="3" t="s">
        <v>141</v>
      </c>
      <c r="E35" s="3" t="s">
        <v>22</v>
      </c>
      <c r="F35" s="3" t="s">
        <v>23</v>
      </c>
      <c r="G35" s="3" t="s">
        <v>24</v>
      </c>
      <c r="H35" s="3" t="s">
        <v>142</v>
      </c>
      <c r="I35" s="3">
        <v>1</v>
      </c>
      <c r="J35" s="3">
        <v>1</v>
      </c>
      <c r="K35" s="3">
        <v>1</v>
      </c>
      <c r="L35" s="3">
        <v>0</v>
      </c>
      <c r="M35" s="3" t="s">
        <v>108</v>
      </c>
      <c r="N35" s="3" t="s">
        <v>487</v>
      </c>
      <c r="O35" s="4">
        <v>45915</v>
      </c>
      <c r="P35" s="4">
        <v>45947</v>
      </c>
      <c r="Q35" s="3" t="s">
        <v>34</v>
      </c>
      <c r="R35" s="3" t="s">
        <v>47</v>
      </c>
      <c r="S35" s="4">
        <v>45947</v>
      </c>
    </row>
    <row r="36" spans="1:19" x14ac:dyDescent="0.2">
      <c r="A36" s="3">
        <v>7837</v>
      </c>
      <c r="B36" s="3" t="s">
        <v>139</v>
      </c>
      <c r="C36" s="3" t="s">
        <v>486</v>
      </c>
      <c r="D36" s="3" t="s">
        <v>141</v>
      </c>
      <c r="E36" s="3" t="s">
        <v>22</v>
      </c>
      <c r="F36" s="3" t="s">
        <v>23</v>
      </c>
      <c r="G36" s="3" t="s">
        <v>24</v>
      </c>
      <c r="H36" s="3" t="s">
        <v>142</v>
      </c>
      <c r="I36" s="3">
        <v>1</v>
      </c>
      <c r="J36" s="3">
        <v>1</v>
      </c>
      <c r="K36" s="3">
        <v>1</v>
      </c>
      <c r="L36" s="3">
        <v>0</v>
      </c>
      <c r="M36" s="3" t="s">
        <v>26</v>
      </c>
      <c r="N36" s="3" t="s">
        <v>488</v>
      </c>
      <c r="O36" s="4">
        <v>45915</v>
      </c>
      <c r="P36" s="4">
        <v>45947</v>
      </c>
      <c r="Q36" s="3" t="s">
        <v>34</v>
      </c>
      <c r="R36" s="3" t="s">
        <v>24</v>
      </c>
      <c r="S36" s="4">
        <v>45947</v>
      </c>
    </row>
    <row r="37" spans="1:19" x14ac:dyDescent="0.2">
      <c r="A37" s="3">
        <v>7838</v>
      </c>
      <c r="B37" s="3" t="s">
        <v>489</v>
      </c>
      <c r="C37" s="3" t="s">
        <v>490</v>
      </c>
      <c r="D37" s="3" t="s">
        <v>205</v>
      </c>
      <c r="E37" s="3" t="s">
        <v>22</v>
      </c>
      <c r="F37" s="3" t="s">
        <v>491</v>
      </c>
      <c r="G37" s="3" t="s">
        <v>24</v>
      </c>
      <c r="H37" s="3" t="s">
        <v>66</v>
      </c>
      <c r="I37" s="3">
        <v>4</v>
      </c>
      <c r="J37" s="3">
        <v>1</v>
      </c>
      <c r="K37" s="3">
        <v>1</v>
      </c>
      <c r="L37" s="3">
        <v>4</v>
      </c>
      <c r="M37" s="3" t="s">
        <v>26</v>
      </c>
      <c r="N37" s="3" t="s">
        <v>314</v>
      </c>
      <c r="O37" s="4">
        <v>45915</v>
      </c>
      <c r="P37" s="4">
        <v>45964</v>
      </c>
      <c r="Q37" s="3" t="s">
        <v>28</v>
      </c>
      <c r="R37" s="3" t="s">
        <v>24</v>
      </c>
      <c r="S37" s="4">
        <v>45968</v>
      </c>
    </row>
    <row r="38" spans="1:19" x14ac:dyDescent="0.2">
      <c r="A38" s="3">
        <v>7839</v>
      </c>
      <c r="B38" s="3" t="s">
        <v>191</v>
      </c>
      <c r="C38" s="3" t="s">
        <v>492</v>
      </c>
      <c r="D38" s="3" t="s">
        <v>182</v>
      </c>
      <c r="E38" s="3" t="s">
        <v>217</v>
      </c>
      <c r="F38" s="3" t="s">
        <v>120</v>
      </c>
      <c r="G38" s="3" t="s">
        <v>24</v>
      </c>
      <c r="H38" s="3" t="s">
        <v>66</v>
      </c>
      <c r="I38" s="3">
        <v>1</v>
      </c>
      <c r="J38" s="3">
        <v>0</v>
      </c>
      <c r="K38" s="3">
        <v>0</v>
      </c>
      <c r="L38" s="3">
        <v>20</v>
      </c>
      <c r="M38" s="3" t="s">
        <v>36</v>
      </c>
      <c r="N38" s="3" t="s">
        <v>493</v>
      </c>
      <c r="O38" s="4">
        <v>45916</v>
      </c>
      <c r="P38" s="4">
        <v>45925</v>
      </c>
      <c r="Q38" s="3" t="s">
        <v>34</v>
      </c>
      <c r="R38" s="3" t="s">
        <v>24</v>
      </c>
      <c r="S38" s="4">
        <v>45945</v>
      </c>
    </row>
    <row r="39" spans="1:19" x14ac:dyDescent="0.2">
      <c r="A39" s="3">
        <v>7840</v>
      </c>
      <c r="B39" s="3" t="s">
        <v>57</v>
      </c>
      <c r="C39" s="3" t="s">
        <v>494</v>
      </c>
      <c r="D39" s="3" t="s">
        <v>21</v>
      </c>
      <c r="E39" s="3" t="s">
        <v>22</v>
      </c>
      <c r="F39" s="3" t="s">
        <v>229</v>
      </c>
      <c r="G39" s="3" t="s">
        <v>24</v>
      </c>
      <c r="H39" s="3" t="s">
        <v>59</v>
      </c>
      <c r="I39" s="3">
        <v>3</v>
      </c>
      <c r="J39" s="3">
        <v>1</v>
      </c>
      <c r="K39" s="3">
        <v>1</v>
      </c>
      <c r="L39" s="3">
        <v>2</v>
      </c>
      <c r="M39" s="3" t="s">
        <v>60</v>
      </c>
      <c r="N39" s="3" t="s">
        <v>83</v>
      </c>
      <c r="O39" s="4">
        <v>45916</v>
      </c>
      <c r="P39" s="4">
        <v>45936</v>
      </c>
      <c r="Q39" s="3" t="s">
        <v>28</v>
      </c>
      <c r="R39" s="3" t="s">
        <v>47</v>
      </c>
      <c r="S39" s="4">
        <v>45938</v>
      </c>
    </row>
    <row r="40" spans="1:19" x14ac:dyDescent="0.2">
      <c r="A40" s="3">
        <v>7841</v>
      </c>
      <c r="B40" s="3" t="s">
        <v>151</v>
      </c>
      <c r="C40" s="3" t="s">
        <v>495</v>
      </c>
      <c r="D40" s="3" t="s">
        <v>205</v>
      </c>
      <c r="E40" s="3" t="s">
        <v>22</v>
      </c>
      <c r="F40" s="3" t="s">
        <v>107</v>
      </c>
      <c r="G40" s="3" t="s">
        <v>24</v>
      </c>
      <c r="H40" s="3" t="s">
        <v>66</v>
      </c>
      <c r="I40" s="3">
        <v>1</v>
      </c>
      <c r="J40" s="3">
        <v>1</v>
      </c>
      <c r="K40" s="3">
        <v>1</v>
      </c>
      <c r="L40" s="3">
        <v>1</v>
      </c>
      <c r="M40" s="3" t="s">
        <v>36</v>
      </c>
      <c r="N40" s="3" t="s">
        <v>496</v>
      </c>
      <c r="O40" s="4">
        <v>45916</v>
      </c>
      <c r="P40" s="4">
        <v>45917</v>
      </c>
      <c r="Q40" s="3" t="s">
        <v>34</v>
      </c>
      <c r="R40" s="3" t="s">
        <v>24</v>
      </c>
      <c r="S40" s="4">
        <v>45918</v>
      </c>
    </row>
    <row r="41" spans="1:19" x14ac:dyDescent="0.2">
      <c r="A41" s="3">
        <v>7843</v>
      </c>
      <c r="B41" s="3" t="s">
        <v>19</v>
      </c>
      <c r="C41" s="3" t="s">
        <v>367</v>
      </c>
      <c r="D41" s="3" t="s">
        <v>21</v>
      </c>
      <c r="E41" s="3" t="s">
        <v>61</v>
      </c>
      <c r="F41" s="3" t="s">
        <v>23</v>
      </c>
      <c r="G41" s="3" t="s">
        <v>24</v>
      </c>
      <c r="H41" s="3" t="s">
        <v>25</v>
      </c>
      <c r="I41" s="3">
        <v>3</v>
      </c>
      <c r="J41" s="3">
        <v>0</v>
      </c>
      <c r="K41" s="3">
        <v>0</v>
      </c>
      <c r="L41" s="3">
        <v>26</v>
      </c>
      <c r="M41" s="3" t="s">
        <v>36</v>
      </c>
      <c r="N41" s="3" t="s">
        <v>75</v>
      </c>
      <c r="O41" s="4">
        <v>45917</v>
      </c>
      <c r="P41" s="4">
        <v>45917</v>
      </c>
      <c r="Q41" s="3" t="s">
        <v>28</v>
      </c>
      <c r="R41" s="3" t="s">
        <v>24</v>
      </c>
      <c r="S41" s="4">
        <v>45943</v>
      </c>
    </row>
    <row r="42" spans="1:19" x14ac:dyDescent="0.2">
      <c r="A42" s="3">
        <v>7844</v>
      </c>
      <c r="B42" s="3" t="s">
        <v>261</v>
      </c>
      <c r="C42" s="3" t="s">
        <v>497</v>
      </c>
      <c r="D42" s="3" t="s">
        <v>137</v>
      </c>
      <c r="E42" s="3" t="s">
        <v>22</v>
      </c>
      <c r="F42" s="3" t="s">
        <v>349</v>
      </c>
      <c r="G42" s="3" t="s">
        <v>24</v>
      </c>
      <c r="H42" s="3" t="s">
        <v>25</v>
      </c>
      <c r="I42" s="3">
        <v>1</v>
      </c>
      <c r="J42" s="3">
        <v>1</v>
      </c>
      <c r="K42" s="3">
        <v>1</v>
      </c>
      <c r="L42" s="3">
        <v>2</v>
      </c>
      <c r="M42" s="3" t="s">
        <v>60</v>
      </c>
      <c r="N42" s="3" t="s">
        <v>121</v>
      </c>
      <c r="O42" s="4">
        <v>45917</v>
      </c>
      <c r="P42" s="4">
        <v>45930</v>
      </c>
      <c r="Q42" s="3" t="s">
        <v>28</v>
      </c>
      <c r="R42" s="3" t="s">
        <v>24</v>
      </c>
      <c r="S42" s="4">
        <v>45932</v>
      </c>
    </row>
    <row r="43" spans="1:19" x14ac:dyDescent="0.2">
      <c r="A43" s="3">
        <v>7846</v>
      </c>
      <c r="B43" s="3" t="s">
        <v>57</v>
      </c>
      <c r="C43" s="3" t="s">
        <v>498</v>
      </c>
      <c r="D43" s="3" t="s">
        <v>21</v>
      </c>
      <c r="E43" s="3" t="s">
        <v>22</v>
      </c>
      <c r="F43" s="3" t="s">
        <v>238</v>
      </c>
      <c r="G43" s="3" t="s">
        <v>24</v>
      </c>
      <c r="H43" s="3" t="s">
        <v>59</v>
      </c>
      <c r="I43" s="3">
        <v>1</v>
      </c>
      <c r="J43" s="3">
        <v>1</v>
      </c>
      <c r="K43" s="3">
        <v>1</v>
      </c>
      <c r="L43" s="3">
        <v>2</v>
      </c>
      <c r="M43" s="3" t="s">
        <v>26</v>
      </c>
      <c r="N43" s="3" t="s">
        <v>56</v>
      </c>
      <c r="O43" s="4">
        <v>45917</v>
      </c>
      <c r="P43" s="4">
        <v>45923</v>
      </c>
      <c r="Q43" s="3" t="s">
        <v>28</v>
      </c>
      <c r="R43" s="3" t="s">
        <v>24</v>
      </c>
      <c r="S43" s="4">
        <v>45925</v>
      </c>
    </row>
    <row r="44" spans="1:19" x14ac:dyDescent="0.2">
      <c r="A44" s="3">
        <v>7847</v>
      </c>
      <c r="B44" s="3" t="s">
        <v>57</v>
      </c>
      <c r="C44" s="3" t="s">
        <v>498</v>
      </c>
      <c r="D44" s="3" t="s">
        <v>21</v>
      </c>
      <c r="E44" s="3" t="s">
        <v>22</v>
      </c>
      <c r="F44" s="3" t="s">
        <v>238</v>
      </c>
      <c r="G44" s="3" t="s">
        <v>24</v>
      </c>
      <c r="H44" s="3" t="s">
        <v>59</v>
      </c>
      <c r="I44" s="3">
        <v>2</v>
      </c>
      <c r="J44" s="3">
        <v>1</v>
      </c>
      <c r="K44" s="3">
        <v>1</v>
      </c>
      <c r="L44" s="3">
        <v>3</v>
      </c>
      <c r="M44" s="3" t="s">
        <v>36</v>
      </c>
      <c r="N44" s="3" t="s">
        <v>499</v>
      </c>
      <c r="O44" s="4">
        <v>45917</v>
      </c>
      <c r="P44" s="4">
        <v>45923</v>
      </c>
      <c r="Q44" s="3" t="s">
        <v>28</v>
      </c>
      <c r="R44" s="3" t="s">
        <v>24</v>
      </c>
      <c r="S44" s="4">
        <v>45926</v>
      </c>
    </row>
    <row r="45" spans="1:19" x14ac:dyDescent="0.2">
      <c r="A45" s="3">
        <v>7848</v>
      </c>
      <c r="B45" s="3" t="s">
        <v>57</v>
      </c>
      <c r="C45" s="3" t="s">
        <v>498</v>
      </c>
      <c r="D45" s="3" t="s">
        <v>21</v>
      </c>
      <c r="E45" s="3" t="s">
        <v>22</v>
      </c>
      <c r="F45" s="3"/>
      <c r="G45" s="3" t="s">
        <v>24</v>
      </c>
      <c r="H45" s="3" t="s">
        <v>59</v>
      </c>
      <c r="I45" s="3">
        <v>1</v>
      </c>
      <c r="J45" s="3">
        <v>1</v>
      </c>
      <c r="K45" s="3">
        <v>1</v>
      </c>
      <c r="L45" s="3">
        <v>4</v>
      </c>
      <c r="M45" s="3" t="s">
        <v>36</v>
      </c>
      <c r="N45" s="3" t="s">
        <v>500</v>
      </c>
      <c r="O45" s="4">
        <v>45917</v>
      </c>
      <c r="P45" s="4">
        <v>45926</v>
      </c>
      <c r="Q45" s="3" t="s">
        <v>28</v>
      </c>
      <c r="R45" s="3" t="s">
        <v>24</v>
      </c>
      <c r="S45" s="4">
        <v>45930</v>
      </c>
    </row>
    <row r="46" spans="1:19" x14ac:dyDescent="0.2">
      <c r="A46" s="3">
        <v>7854</v>
      </c>
      <c r="B46" s="3" t="s">
        <v>110</v>
      </c>
      <c r="C46" s="3" t="s">
        <v>501</v>
      </c>
      <c r="D46" s="3" t="s">
        <v>183</v>
      </c>
      <c r="E46" s="3" t="s">
        <v>22</v>
      </c>
      <c r="F46" s="3" t="s">
        <v>238</v>
      </c>
      <c r="G46" s="3" t="s">
        <v>24</v>
      </c>
      <c r="H46" s="3" t="s">
        <v>112</v>
      </c>
      <c r="I46" s="3">
        <v>1</v>
      </c>
      <c r="J46" s="3">
        <v>1</v>
      </c>
      <c r="K46" s="3">
        <v>1</v>
      </c>
      <c r="L46" s="3">
        <v>0</v>
      </c>
      <c r="M46" s="3" t="s">
        <v>36</v>
      </c>
      <c r="N46" s="3" t="s">
        <v>493</v>
      </c>
      <c r="O46" s="4">
        <v>45918</v>
      </c>
      <c r="P46" s="4">
        <v>45918</v>
      </c>
      <c r="Q46" s="3" t="s">
        <v>34</v>
      </c>
      <c r="R46" s="3" t="s">
        <v>47</v>
      </c>
      <c r="S46" s="4">
        <v>45918</v>
      </c>
    </row>
    <row r="47" spans="1:19" x14ac:dyDescent="0.2">
      <c r="A47" s="3">
        <v>7856</v>
      </c>
      <c r="B47" s="3" t="s">
        <v>151</v>
      </c>
      <c r="C47" s="3" t="s">
        <v>475</v>
      </c>
      <c r="D47" s="3" t="s">
        <v>74</v>
      </c>
      <c r="E47" s="3" t="s">
        <v>22</v>
      </c>
      <c r="F47" s="3" t="s">
        <v>44</v>
      </c>
      <c r="G47" s="3" t="s">
        <v>24</v>
      </c>
      <c r="H47" s="3" t="s">
        <v>66</v>
      </c>
      <c r="I47" s="3">
        <v>1</v>
      </c>
      <c r="J47" s="3">
        <v>1</v>
      </c>
      <c r="K47" s="3">
        <v>1</v>
      </c>
      <c r="L47" s="3">
        <v>2</v>
      </c>
      <c r="M47" s="3" t="s">
        <v>38</v>
      </c>
      <c r="N47" s="3" t="s">
        <v>502</v>
      </c>
      <c r="O47" s="4">
        <v>45918</v>
      </c>
      <c r="P47" s="4">
        <v>45924</v>
      </c>
      <c r="Q47" s="3" t="s">
        <v>28</v>
      </c>
      <c r="R47" s="3" t="s">
        <v>47</v>
      </c>
      <c r="S47" s="4">
        <v>45926</v>
      </c>
    </row>
    <row r="48" spans="1:19" x14ac:dyDescent="0.2">
      <c r="A48" s="3">
        <v>7857</v>
      </c>
      <c r="B48" s="3" t="s">
        <v>175</v>
      </c>
      <c r="C48" s="3" t="s">
        <v>176</v>
      </c>
      <c r="D48" s="3" t="s">
        <v>21</v>
      </c>
      <c r="E48" s="3" t="s">
        <v>22</v>
      </c>
      <c r="F48" s="3" t="s">
        <v>238</v>
      </c>
      <c r="G48" s="3" t="s">
        <v>24</v>
      </c>
      <c r="H48" s="3" t="s">
        <v>178</v>
      </c>
      <c r="I48" s="3">
        <v>1</v>
      </c>
      <c r="J48" s="3">
        <v>1</v>
      </c>
      <c r="K48" s="3">
        <v>1</v>
      </c>
      <c r="L48" s="3">
        <v>0</v>
      </c>
      <c r="M48" s="3" t="s">
        <v>36</v>
      </c>
      <c r="N48" s="3" t="s">
        <v>285</v>
      </c>
      <c r="O48" s="4">
        <v>45918</v>
      </c>
      <c r="P48" s="4">
        <v>45918</v>
      </c>
      <c r="Q48" s="3" t="s">
        <v>34</v>
      </c>
      <c r="R48" s="3" t="s">
        <v>47</v>
      </c>
      <c r="S48" s="4">
        <v>45918</v>
      </c>
    </row>
    <row r="49" spans="1:19" x14ac:dyDescent="0.2">
      <c r="A49" s="3">
        <v>7858</v>
      </c>
      <c r="B49" s="3" t="s">
        <v>175</v>
      </c>
      <c r="C49" s="3" t="s">
        <v>176</v>
      </c>
      <c r="D49" s="3" t="s">
        <v>98</v>
      </c>
      <c r="E49" s="3" t="s">
        <v>22</v>
      </c>
      <c r="F49" s="3" t="s">
        <v>238</v>
      </c>
      <c r="G49" s="3" t="s">
        <v>24</v>
      </c>
      <c r="H49" s="3" t="s">
        <v>178</v>
      </c>
      <c r="I49" s="3">
        <v>1</v>
      </c>
      <c r="J49" s="3">
        <v>1</v>
      </c>
      <c r="K49" s="3">
        <v>1</v>
      </c>
      <c r="L49" s="3">
        <v>0</v>
      </c>
      <c r="M49" s="3" t="s">
        <v>108</v>
      </c>
      <c r="N49" s="3" t="s">
        <v>56</v>
      </c>
      <c r="O49" s="4">
        <v>45918</v>
      </c>
      <c r="P49" s="4">
        <v>45918</v>
      </c>
      <c r="Q49" s="3" t="s">
        <v>34</v>
      </c>
      <c r="R49" s="3" t="s">
        <v>24</v>
      </c>
      <c r="S49" s="4">
        <v>45918</v>
      </c>
    </row>
    <row r="50" spans="1:19" x14ac:dyDescent="0.2">
      <c r="A50" s="3">
        <v>7859</v>
      </c>
      <c r="B50" s="3" t="s">
        <v>175</v>
      </c>
      <c r="C50" s="3" t="s">
        <v>176</v>
      </c>
      <c r="D50" s="3" t="s">
        <v>145</v>
      </c>
      <c r="E50" s="3" t="s">
        <v>22</v>
      </c>
      <c r="F50" s="3" t="s">
        <v>238</v>
      </c>
      <c r="G50" s="3" t="s">
        <v>24</v>
      </c>
      <c r="H50" s="3" t="s">
        <v>178</v>
      </c>
      <c r="I50" s="3">
        <v>1</v>
      </c>
      <c r="J50" s="3">
        <v>1</v>
      </c>
      <c r="K50" s="3">
        <v>1</v>
      </c>
      <c r="L50" s="3">
        <v>0</v>
      </c>
      <c r="M50" s="3" t="s">
        <v>36</v>
      </c>
      <c r="N50" s="3" t="s">
        <v>56</v>
      </c>
      <c r="O50" s="4">
        <v>45918</v>
      </c>
      <c r="P50" s="4">
        <v>45918</v>
      </c>
      <c r="Q50" s="3" t="s">
        <v>34</v>
      </c>
      <c r="R50" s="3" t="s">
        <v>24</v>
      </c>
      <c r="S50" s="4">
        <v>45918</v>
      </c>
    </row>
    <row r="51" spans="1:19" x14ac:dyDescent="0.2">
      <c r="A51" s="3">
        <v>7860</v>
      </c>
      <c r="B51" s="3" t="s">
        <v>175</v>
      </c>
      <c r="C51" s="3" t="s">
        <v>176</v>
      </c>
      <c r="D51" s="3" t="s">
        <v>126</v>
      </c>
      <c r="E51" s="3" t="s">
        <v>22</v>
      </c>
      <c r="F51" s="3" t="s">
        <v>238</v>
      </c>
      <c r="G51" s="3" t="s">
        <v>24</v>
      </c>
      <c r="H51" s="3" t="s">
        <v>178</v>
      </c>
      <c r="I51" s="3">
        <v>1</v>
      </c>
      <c r="J51" s="3">
        <v>1</v>
      </c>
      <c r="K51" s="3">
        <v>1</v>
      </c>
      <c r="L51" s="3">
        <v>0</v>
      </c>
      <c r="M51" s="3" t="s">
        <v>26</v>
      </c>
      <c r="N51" s="3" t="s">
        <v>56</v>
      </c>
      <c r="O51" s="4">
        <v>45918</v>
      </c>
      <c r="P51" s="4">
        <v>45918</v>
      </c>
      <c r="Q51" s="3" t="s">
        <v>34</v>
      </c>
      <c r="R51" s="3" t="s">
        <v>24</v>
      </c>
      <c r="S51" s="4">
        <v>45918</v>
      </c>
    </row>
    <row r="52" spans="1:19" x14ac:dyDescent="0.2">
      <c r="A52" s="3">
        <v>7861</v>
      </c>
      <c r="B52" s="3" t="s">
        <v>175</v>
      </c>
      <c r="C52" s="3" t="s">
        <v>176</v>
      </c>
      <c r="D52" s="3" t="s">
        <v>427</v>
      </c>
      <c r="E52" s="3" t="s">
        <v>22</v>
      </c>
      <c r="F52" s="3" t="s">
        <v>238</v>
      </c>
      <c r="G52" s="3" t="s">
        <v>24</v>
      </c>
      <c r="H52" s="3" t="s">
        <v>178</v>
      </c>
      <c r="I52" s="3">
        <v>1</v>
      </c>
      <c r="J52" s="3">
        <v>1</v>
      </c>
      <c r="K52" s="3">
        <v>1</v>
      </c>
      <c r="L52" s="3">
        <v>0</v>
      </c>
      <c r="M52" s="3" t="s">
        <v>36</v>
      </c>
      <c r="N52" s="3" t="s">
        <v>56</v>
      </c>
      <c r="O52" s="4">
        <v>45918</v>
      </c>
      <c r="P52" s="4">
        <v>45918</v>
      </c>
      <c r="Q52" s="3" t="s">
        <v>34</v>
      </c>
      <c r="R52" s="3" t="s">
        <v>24</v>
      </c>
      <c r="S52" s="4">
        <v>45918</v>
      </c>
    </row>
    <row r="53" spans="1:19" x14ac:dyDescent="0.2">
      <c r="A53" s="3">
        <v>7862</v>
      </c>
      <c r="B53" s="3" t="s">
        <v>405</v>
      </c>
      <c r="C53" s="3" t="s">
        <v>503</v>
      </c>
      <c r="D53" s="3" t="s">
        <v>98</v>
      </c>
      <c r="E53" s="3" t="s">
        <v>22</v>
      </c>
      <c r="F53" s="3" t="s">
        <v>70</v>
      </c>
      <c r="G53" s="3" t="s">
        <v>24</v>
      </c>
      <c r="H53" s="3" t="s">
        <v>407</v>
      </c>
      <c r="I53" s="3">
        <v>1</v>
      </c>
      <c r="J53" s="3">
        <v>1</v>
      </c>
      <c r="K53" s="3">
        <v>1</v>
      </c>
      <c r="L53" s="3">
        <v>0</v>
      </c>
      <c r="M53" s="3" t="s">
        <v>36</v>
      </c>
      <c r="N53" s="3" t="s">
        <v>504</v>
      </c>
      <c r="O53" s="4">
        <v>45919</v>
      </c>
      <c r="P53" s="4">
        <v>45922</v>
      </c>
      <c r="Q53" s="3" t="s">
        <v>34</v>
      </c>
      <c r="R53" s="3" t="s">
        <v>24</v>
      </c>
      <c r="S53" s="4">
        <v>45922</v>
      </c>
    </row>
    <row r="54" spans="1:19" x14ac:dyDescent="0.2">
      <c r="A54" s="3">
        <v>7864</v>
      </c>
      <c r="B54" s="3" t="s">
        <v>261</v>
      </c>
      <c r="C54" s="3" t="s">
        <v>505</v>
      </c>
      <c r="D54" s="3" t="s">
        <v>160</v>
      </c>
      <c r="E54" s="3" t="s">
        <v>22</v>
      </c>
      <c r="F54" s="3"/>
      <c r="G54" s="3" t="s">
        <v>24</v>
      </c>
      <c r="H54" s="3" t="s">
        <v>25</v>
      </c>
      <c r="I54" s="3">
        <v>1</v>
      </c>
      <c r="J54" s="3">
        <v>1</v>
      </c>
      <c r="K54" s="3">
        <v>1</v>
      </c>
      <c r="L54" s="3">
        <v>1</v>
      </c>
      <c r="M54" s="3" t="s">
        <v>78</v>
      </c>
      <c r="N54" s="3" t="s">
        <v>56</v>
      </c>
      <c r="O54" s="4">
        <v>45922</v>
      </c>
      <c r="P54" s="4">
        <v>45923</v>
      </c>
      <c r="Q54" s="3" t="s">
        <v>34</v>
      </c>
      <c r="R54" s="3" t="s">
        <v>47</v>
      </c>
      <c r="S54" s="4">
        <v>45924</v>
      </c>
    </row>
    <row r="55" spans="1:19" x14ac:dyDescent="0.2">
      <c r="A55" s="3">
        <v>7865</v>
      </c>
      <c r="B55" s="3" t="s">
        <v>449</v>
      </c>
      <c r="C55" s="3" t="s">
        <v>506</v>
      </c>
      <c r="D55" s="3" t="s">
        <v>31</v>
      </c>
      <c r="E55" s="3" t="s">
        <v>22</v>
      </c>
      <c r="F55" s="3" t="s">
        <v>70</v>
      </c>
      <c r="G55" s="3" t="s">
        <v>24</v>
      </c>
      <c r="H55" s="3" t="s">
        <v>451</v>
      </c>
      <c r="I55" s="3">
        <v>1</v>
      </c>
      <c r="J55" s="3">
        <v>1</v>
      </c>
      <c r="K55" s="3">
        <v>1</v>
      </c>
      <c r="L55" s="3">
        <v>0</v>
      </c>
      <c r="M55" s="3" t="s">
        <v>36</v>
      </c>
      <c r="N55" s="3" t="s">
        <v>507</v>
      </c>
      <c r="O55" s="4">
        <v>45922</v>
      </c>
      <c r="P55" s="4">
        <v>45922</v>
      </c>
      <c r="Q55" s="3" t="s">
        <v>34</v>
      </c>
      <c r="R55" s="3" t="s">
        <v>24</v>
      </c>
      <c r="S55" s="4">
        <v>45922</v>
      </c>
    </row>
    <row r="56" spans="1:19" x14ac:dyDescent="0.2">
      <c r="A56" s="3">
        <v>7866</v>
      </c>
      <c r="B56" s="3" t="s">
        <v>63</v>
      </c>
      <c r="C56" s="3" t="s">
        <v>204</v>
      </c>
      <c r="D56" s="3" t="s">
        <v>123</v>
      </c>
      <c r="E56" s="3" t="s">
        <v>61</v>
      </c>
      <c r="F56" s="3" t="s">
        <v>23</v>
      </c>
      <c r="G56" s="3" t="s">
        <v>24</v>
      </c>
      <c r="H56" s="3" t="s">
        <v>66</v>
      </c>
      <c r="I56" s="3">
        <v>3</v>
      </c>
      <c r="J56" s="3">
        <v>0</v>
      </c>
      <c r="K56" s="3">
        <v>0</v>
      </c>
      <c r="L56" s="3">
        <v>14</v>
      </c>
      <c r="M56" s="3" t="s">
        <v>60</v>
      </c>
      <c r="N56" s="3" t="s">
        <v>508</v>
      </c>
      <c r="O56" s="4">
        <v>45922</v>
      </c>
      <c r="P56" s="4">
        <v>45924</v>
      </c>
      <c r="Q56" s="3" t="s">
        <v>28</v>
      </c>
      <c r="R56" s="3" t="s">
        <v>24</v>
      </c>
      <c r="S56" s="4">
        <v>45938</v>
      </c>
    </row>
    <row r="57" spans="1:19" x14ac:dyDescent="0.2">
      <c r="A57" s="3">
        <v>7871</v>
      </c>
      <c r="B57" s="3" t="s">
        <v>139</v>
      </c>
      <c r="C57" s="3" t="s">
        <v>509</v>
      </c>
      <c r="D57" s="3" t="s">
        <v>141</v>
      </c>
      <c r="E57" s="3" t="s">
        <v>22</v>
      </c>
      <c r="F57" s="3" t="s">
        <v>23</v>
      </c>
      <c r="G57" s="3" t="s">
        <v>24</v>
      </c>
      <c r="H57" s="3" t="s">
        <v>142</v>
      </c>
      <c r="I57" s="3">
        <v>1</v>
      </c>
      <c r="J57" s="3">
        <v>1</v>
      </c>
      <c r="K57" s="3">
        <v>1</v>
      </c>
      <c r="L57" s="3">
        <v>12</v>
      </c>
      <c r="M57" s="3" t="s">
        <v>26</v>
      </c>
      <c r="N57" s="3" t="s">
        <v>488</v>
      </c>
      <c r="O57" s="4">
        <v>45924</v>
      </c>
      <c r="P57" s="4">
        <v>45959</v>
      </c>
      <c r="Q57" s="3" t="s">
        <v>34</v>
      </c>
      <c r="R57" s="3" t="s">
        <v>24</v>
      </c>
      <c r="S57" s="4">
        <v>45971</v>
      </c>
    </row>
    <row r="58" spans="1:19" x14ac:dyDescent="0.2">
      <c r="A58" s="3">
        <v>7873</v>
      </c>
      <c r="B58" s="3" t="s">
        <v>19</v>
      </c>
      <c r="C58" s="3" t="s">
        <v>311</v>
      </c>
      <c r="D58" s="3" t="s">
        <v>98</v>
      </c>
      <c r="E58" s="3" t="s">
        <v>61</v>
      </c>
      <c r="F58" s="3" t="s">
        <v>349</v>
      </c>
      <c r="G58" s="3" t="s">
        <v>24</v>
      </c>
      <c r="H58" s="3" t="s">
        <v>25</v>
      </c>
      <c r="I58" s="3">
        <v>2</v>
      </c>
      <c r="J58" s="3">
        <v>0</v>
      </c>
      <c r="K58" s="3">
        <v>0</v>
      </c>
      <c r="L58" s="3">
        <v>36</v>
      </c>
      <c r="M58" s="3" t="s">
        <v>26</v>
      </c>
      <c r="N58" s="3" t="s">
        <v>510</v>
      </c>
      <c r="O58" s="4">
        <v>45925</v>
      </c>
      <c r="P58" s="4">
        <v>45932</v>
      </c>
      <c r="Q58" s="3" t="s">
        <v>28</v>
      </c>
      <c r="R58" s="3" t="s">
        <v>47</v>
      </c>
      <c r="S58" s="4">
        <v>45968</v>
      </c>
    </row>
    <row r="59" spans="1:19" x14ac:dyDescent="0.2">
      <c r="A59" s="3">
        <v>7876</v>
      </c>
      <c r="B59" s="3" t="s">
        <v>338</v>
      </c>
      <c r="C59" s="3" t="s">
        <v>511</v>
      </c>
      <c r="D59" s="3" t="s">
        <v>180</v>
      </c>
      <c r="E59" s="3" t="s">
        <v>22</v>
      </c>
      <c r="F59" s="3" t="s">
        <v>107</v>
      </c>
      <c r="G59" s="3" t="s">
        <v>24</v>
      </c>
      <c r="H59" s="3" t="s">
        <v>32</v>
      </c>
      <c r="I59" s="3">
        <v>1</v>
      </c>
      <c r="J59" s="3">
        <v>1</v>
      </c>
      <c r="K59" s="3">
        <v>1</v>
      </c>
      <c r="L59" s="3">
        <v>0</v>
      </c>
      <c r="M59" s="3" t="s">
        <v>108</v>
      </c>
      <c r="N59" s="3" t="s">
        <v>504</v>
      </c>
      <c r="O59" s="4">
        <v>45926</v>
      </c>
      <c r="P59" s="4">
        <v>45926</v>
      </c>
      <c r="Q59" s="3" t="s">
        <v>34</v>
      </c>
      <c r="R59" s="3" t="s">
        <v>24</v>
      </c>
      <c r="S59" s="4">
        <v>45926</v>
      </c>
    </row>
    <row r="60" spans="1:19" x14ac:dyDescent="0.2">
      <c r="A60" s="3">
        <v>7877</v>
      </c>
      <c r="B60" s="3" t="s">
        <v>258</v>
      </c>
      <c r="C60" s="3" t="s">
        <v>512</v>
      </c>
      <c r="D60" s="3" t="s">
        <v>260</v>
      </c>
      <c r="E60" s="3" t="s">
        <v>22</v>
      </c>
      <c r="F60" s="3" t="s">
        <v>349</v>
      </c>
      <c r="G60" s="3" t="s">
        <v>24</v>
      </c>
      <c r="H60" s="3" t="s">
        <v>25</v>
      </c>
      <c r="I60" s="3">
        <v>1</v>
      </c>
      <c r="J60" s="3">
        <v>1</v>
      </c>
      <c r="K60" s="3">
        <v>1</v>
      </c>
      <c r="L60" s="3">
        <v>1</v>
      </c>
      <c r="M60" s="3" t="s">
        <v>215</v>
      </c>
      <c r="N60" s="3" t="s">
        <v>513</v>
      </c>
      <c r="O60" s="4">
        <v>45927</v>
      </c>
      <c r="P60" s="4">
        <v>45936</v>
      </c>
      <c r="Q60" s="3" t="s">
        <v>28</v>
      </c>
      <c r="R60" s="3" t="s">
        <v>24</v>
      </c>
      <c r="S60" s="4">
        <v>45937</v>
      </c>
    </row>
    <row r="61" spans="1:19" x14ac:dyDescent="0.2">
      <c r="A61" s="3">
        <v>7885</v>
      </c>
      <c r="B61" s="3" t="s">
        <v>175</v>
      </c>
      <c r="C61" s="3" t="s">
        <v>282</v>
      </c>
      <c r="D61" s="3" t="s">
        <v>21</v>
      </c>
      <c r="E61" s="3" t="s">
        <v>22</v>
      </c>
      <c r="F61" s="3" t="s">
        <v>238</v>
      </c>
      <c r="G61" s="3" t="s">
        <v>24</v>
      </c>
      <c r="H61" s="3" t="s">
        <v>178</v>
      </c>
      <c r="I61" s="3">
        <v>1</v>
      </c>
      <c r="J61" s="3">
        <v>1</v>
      </c>
      <c r="K61" s="3">
        <v>1</v>
      </c>
      <c r="L61" s="3">
        <v>0</v>
      </c>
      <c r="M61" s="3" t="s">
        <v>36</v>
      </c>
      <c r="N61" s="3" t="s">
        <v>514</v>
      </c>
      <c r="O61" s="4">
        <v>45930</v>
      </c>
      <c r="P61" s="4">
        <v>45930</v>
      </c>
      <c r="Q61" s="3" t="s">
        <v>34</v>
      </c>
      <c r="R61" s="3" t="s">
        <v>24</v>
      </c>
      <c r="S61" s="4">
        <v>45930</v>
      </c>
    </row>
    <row r="63" spans="1:19" x14ac:dyDescent="0.2">
      <c r="I63">
        <f>SUM(I2:I61)</f>
        <v>94</v>
      </c>
      <c r="J63">
        <f>SUM(J2:J61)</f>
        <v>45</v>
      </c>
    </row>
    <row r="65" spans="9:10" x14ac:dyDescent="0.2">
      <c r="I65" t="s">
        <v>515</v>
      </c>
      <c r="J65" s="5">
        <f>J63/I63</f>
        <v>0.47872340425531917</v>
      </c>
    </row>
    <row r="66" spans="9:10" x14ac:dyDescent="0.2">
      <c r="I66" t="s">
        <v>518</v>
      </c>
      <c r="J66" s="5">
        <f>('07 - July'!J68+'08 - Aug'!J77+'09 - Sep'!J63)/('07 - July'!I68+'08 - Aug'!I77+'09 - Sep'!I63)</f>
        <v>0.38020833333333331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04 - April</vt:lpstr>
      <vt:lpstr>05 - May</vt:lpstr>
      <vt:lpstr>06 - June</vt:lpstr>
      <vt:lpstr>07 - July</vt:lpstr>
      <vt:lpstr>08 - Aug</vt:lpstr>
      <vt:lpstr>09 - 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Lynch</cp:lastModifiedBy>
  <dcterms:modified xsi:type="dcterms:W3CDTF">2025-11-11T21:36:53Z</dcterms:modified>
</cp:coreProperties>
</file>